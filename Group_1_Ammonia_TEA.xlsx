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nhi\OneDrive\Desktop\SEM - 6\Aspen LAB\Endsem\"/>
    </mc:Choice>
  </mc:AlternateContent>
  <xr:revisionPtr revIDLastSave="0" documentId="13_ncr:1_{FBB0B69A-AD51-4F71-9639-8FB97C4CFE5B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Input" sheetId="1" r:id="rId1"/>
    <sheet name="Calculations" sheetId="2" r:id="rId2"/>
    <sheet name="Cash Flow Model" sheetId="3" r:id="rId3"/>
    <sheet name="EC Summary" sheetId="6" r:id="rId4"/>
    <sheet name="KPI Summary" sheetId="4" r:id="rId5"/>
    <sheet name="OPEX Breakdown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3" l="1" a="1"/>
  <c r="C34" i="3"/>
  <c r="C33" i="3"/>
  <c r="C32" i="3"/>
  <c r="F10" i="3"/>
  <c r="D28" i="3"/>
  <c r="E25" i="3"/>
  <c r="F22" i="3"/>
  <c r="B26" i="2"/>
  <c r="B7" i="2"/>
  <c r="B8" i="2"/>
  <c r="C27" i="6"/>
  <c r="F27" i="6"/>
  <c r="B27" i="6"/>
  <c r="B14" i="1"/>
  <c r="B4" i="2"/>
  <c r="C5" i="3" s="1"/>
  <c r="B12" i="1"/>
  <c r="C8" i="3"/>
  <c r="D8" i="3"/>
  <c r="E8" i="3"/>
  <c r="B10" i="5"/>
  <c r="B9" i="5"/>
  <c r="B7" i="5"/>
  <c r="B5" i="5"/>
  <c r="B4" i="5"/>
  <c r="B3" i="5"/>
  <c r="B29" i="4"/>
  <c r="B28" i="4"/>
  <c r="B20" i="4"/>
  <c r="B11" i="4"/>
  <c r="B8" i="4"/>
  <c r="B6" i="4"/>
  <c r="B5" i="4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N24" i="3"/>
  <c r="M24" i="3"/>
  <c r="L24" i="3"/>
  <c r="K24" i="3"/>
  <c r="J24" i="3"/>
  <c r="I24" i="3"/>
  <c r="H24" i="3"/>
  <c r="G24" i="3"/>
  <c r="F24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E15" i="3"/>
  <c r="D15" i="3"/>
  <c r="C15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E13" i="3"/>
  <c r="D13" i="3"/>
  <c r="C13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E10" i="3"/>
  <c r="D10" i="3"/>
  <c r="C10" i="3"/>
  <c r="O9" i="3"/>
  <c r="N9" i="3"/>
  <c r="M9" i="3"/>
  <c r="L9" i="3"/>
  <c r="K9" i="3"/>
  <c r="J9" i="3"/>
  <c r="I9" i="3"/>
  <c r="H9" i="3"/>
  <c r="G9" i="3"/>
  <c r="F9" i="3"/>
  <c r="E9" i="3"/>
  <c r="D9" i="3"/>
  <c r="C9" i="3"/>
  <c r="N6" i="3"/>
  <c r="M6" i="3"/>
  <c r="L6" i="3"/>
  <c r="K6" i="3"/>
  <c r="J6" i="3"/>
  <c r="I6" i="3"/>
  <c r="H6" i="3"/>
  <c r="G6" i="3"/>
  <c r="F6" i="3"/>
  <c r="D6" i="3"/>
  <c r="C6" i="3"/>
  <c r="O5" i="3"/>
  <c r="N5" i="3"/>
  <c r="M5" i="3"/>
  <c r="L5" i="3"/>
  <c r="K5" i="3"/>
  <c r="J5" i="3"/>
  <c r="I5" i="3"/>
  <c r="H5" i="3"/>
  <c r="G5" i="3"/>
  <c r="F5" i="3"/>
  <c r="E5" i="3"/>
  <c r="O4" i="3"/>
  <c r="N4" i="3"/>
  <c r="M4" i="3"/>
  <c r="L4" i="3"/>
  <c r="K4" i="3"/>
  <c r="J4" i="3"/>
  <c r="I4" i="3"/>
  <c r="H4" i="3"/>
  <c r="G4" i="3"/>
  <c r="F4" i="3"/>
  <c r="E4" i="3"/>
  <c r="D4" i="3"/>
  <c r="C4" i="3"/>
  <c r="B15" i="2"/>
  <c r="B18" i="4" s="1"/>
  <c r="B11" i="2"/>
  <c r="B12" i="2" s="1"/>
  <c r="D18" i="3" l="1"/>
  <c r="O15" i="3"/>
  <c r="C5" i="5"/>
  <c r="O8" i="3"/>
  <c r="O10" i="3" s="1"/>
  <c r="K8" i="3"/>
  <c r="K10" i="3" s="1"/>
  <c r="D5" i="3"/>
  <c r="D25" i="3" s="1"/>
  <c r="L8" i="3"/>
  <c r="L10" i="3" s="1"/>
  <c r="N8" i="3"/>
  <c r="N10" i="3" s="1"/>
  <c r="C18" i="3"/>
  <c r="E18" i="3"/>
  <c r="M15" i="3"/>
  <c r="B6" i="5"/>
  <c r="B4" i="4"/>
  <c r="N13" i="3"/>
  <c r="N18" i="3" s="1"/>
  <c r="B16" i="2"/>
  <c r="O13" i="3"/>
  <c r="B17" i="2"/>
  <c r="F15" i="3"/>
  <c r="I15" i="3"/>
  <c r="C3" i="5"/>
  <c r="H8" i="3"/>
  <c r="H10" i="3" s="1"/>
  <c r="J15" i="3"/>
  <c r="C9" i="5"/>
  <c r="B5" i="2"/>
  <c r="H13" i="3"/>
  <c r="N15" i="3"/>
  <c r="J13" i="3"/>
  <c r="K13" i="3"/>
  <c r="L13" i="3"/>
  <c r="M13" i="3"/>
  <c r="C7" i="5"/>
  <c r="B9" i="4"/>
  <c r="G15" i="3"/>
  <c r="B8" i="5"/>
  <c r="C8" i="5" s="1"/>
  <c r="F8" i="3"/>
  <c r="H15" i="3"/>
  <c r="G8" i="3"/>
  <c r="G10" i="3" s="1"/>
  <c r="C25" i="3"/>
  <c r="C26" i="3" s="1"/>
  <c r="I8" i="3"/>
  <c r="I10" i="3" s="1"/>
  <c r="K15" i="3"/>
  <c r="J8" i="3"/>
  <c r="J10" i="3" s="1"/>
  <c r="F13" i="3"/>
  <c r="L15" i="3"/>
  <c r="C4" i="5"/>
  <c r="G13" i="3"/>
  <c r="C10" i="5"/>
  <c r="B6" i="2"/>
  <c r="M8" i="3"/>
  <c r="M10" i="3" s="1"/>
  <c r="I13" i="3"/>
  <c r="O18" i="3" l="1"/>
  <c r="D29" i="3"/>
  <c r="D26" i="3"/>
  <c r="B18" i="2"/>
  <c r="B16" i="4" s="1"/>
  <c r="B12" i="4"/>
  <c r="E6" i="3"/>
  <c r="B11" i="5"/>
  <c r="C11" i="5" s="1"/>
  <c r="M18" i="3"/>
  <c r="G18" i="3"/>
  <c r="F18" i="3"/>
  <c r="J18" i="3"/>
  <c r="H18" i="3"/>
  <c r="C6" i="5"/>
  <c r="C28" i="3"/>
  <c r="K20" i="3"/>
  <c r="H20" i="3"/>
  <c r="M20" i="3"/>
  <c r="L20" i="3"/>
  <c r="J20" i="3"/>
  <c r="G20" i="3"/>
  <c r="F20" i="3"/>
  <c r="O20" i="3"/>
  <c r="N20" i="3"/>
  <c r="N21" i="3" s="1"/>
  <c r="I20" i="3"/>
  <c r="I18" i="3"/>
  <c r="B10" i="4"/>
  <c r="O6" i="3"/>
  <c r="B14" i="4"/>
  <c r="O24" i="3"/>
  <c r="B21" i="4"/>
  <c r="L18" i="3"/>
  <c r="K18" i="3"/>
  <c r="O21" i="3" l="1"/>
  <c r="O22" i="3" s="1"/>
  <c r="O23" i="3" s="1"/>
  <c r="O25" i="3" s="1"/>
  <c r="B22" i="4"/>
  <c r="I21" i="3"/>
  <c r="I22" i="3" s="1"/>
  <c r="I23" i="3" s="1"/>
  <c r="I25" i="3" s="1"/>
  <c r="C30" i="3"/>
  <c r="D30" i="3" s="1"/>
  <c r="C29" i="3"/>
  <c r="E28" i="3"/>
  <c r="E29" i="3" s="1"/>
  <c r="E26" i="3"/>
  <c r="B22" i="2"/>
  <c r="B23" i="2" s="1"/>
  <c r="B24" i="2" s="1"/>
  <c r="D8" i="5"/>
  <c r="D10" i="5"/>
  <c r="B19" i="2"/>
  <c r="B17" i="4" s="1"/>
  <c r="B13" i="4"/>
  <c r="D3" i="5"/>
  <c r="D4" i="5"/>
  <c r="D5" i="5"/>
  <c r="D6" i="5"/>
  <c r="M21" i="3"/>
  <c r="M22" i="3" s="1"/>
  <c r="D7" i="5"/>
  <c r="D9" i="5"/>
  <c r="F21" i="3"/>
  <c r="F23" i="3" s="1"/>
  <c r="G21" i="3"/>
  <c r="G22" i="3" s="1"/>
  <c r="G23" i="3" s="1"/>
  <c r="G25" i="3" s="1"/>
  <c r="J21" i="3"/>
  <c r="J22" i="3" s="1"/>
  <c r="J23" i="3" s="1"/>
  <c r="J25" i="3" s="1"/>
  <c r="H21" i="3"/>
  <c r="H22" i="3" s="1"/>
  <c r="H23" i="3" s="1"/>
  <c r="H25" i="3" s="1"/>
  <c r="K21" i="3"/>
  <c r="K22" i="3" s="1"/>
  <c r="K23" i="3" s="1"/>
  <c r="K25" i="3" s="1"/>
  <c r="L21" i="3"/>
  <c r="L22" i="3" s="1"/>
  <c r="L23" i="3" s="1"/>
  <c r="L25" i="3" s="1"/>
  <c r="N22" i="3"/>
  <c r="N23" i="3" s="1"/>
  <c r="N25" i="3" s="1"/>
  <c r="F25" i="3" l="1"/>
  <c r="F26" i="3" s="1"/>
  <c r="E30" i="3"/>
  <c r="G28" i="3"/>
  <c r="G29" i="3" s="1"/>
  <c r="G26" i="3"/>
  <c r="L28" i="3"/>
  <c r="L29" i="3" s="1"/>
  <c r="L26" i="3"/>
  <c r="O28" i="3"/>
  <c r="O29" i="3" s="1"/>
  <c r="O26" i="3"/>
  <c r="N28" i="3"/>
  <c r="N29" i="3" s="1"/>
  <c r="N26" i="3"/>
  <c r="I28" i="3"/>
  <c r="I29" i="3" s="1"/>
  <c r="I26" i="3"/>
  <c r="K28" i="3"/>
  <c r="K29" i="3" s="1"/>
  <c r="K26" i="3"/>
  <c r="H28" i="3"/>
  <c r="H29" i="3" s="1"/>
  <c r="H26" i="3"/>
  <c r="J28" i="3"/>
  <c r="J29" i="3" s="1"/>
  <c r="J26" i="3"/>
  <c r="D11" i="5"/>
  <c r="M23" i="3"/>
  <c r="M25" i="3" s="1"/>
  <c r="B25" i="2"/>
  <c r="B24" i="4"/>
  <c r="F28" i="3" l="1"/>
  <c r="F30" i="3" s="1"/>
  <c r="C35" i="3"/>
  <c r="M28" i="3"/>
  <c r="M29" i="3" s="1"/>
  <c r="M26" i="3"/>
  <c r="B25" i="4"/>
  <c r="F29" i="3" l="1"/>
  <c r="G30" i="3"/>
  <c r="H30" i="3" s="1"/>
  <c r="I30" i="3" s="1"/>
  <c r="J30" i="3" s="1"/>
  <c r="K30" i="3" s="1"/>
  <c r="L30" i="3" s="1"/>
  <c r="M30" i="3" s="1"/>
  <c r="N30" i="3" s="1"/>
  <c r="O30" i="3" s="1"/>
  <c r="B26" i="4" l="1"/>
  <c r="B2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<sst xmlns="http://schemas.openxmlformats.org/spreadsheetml/2006/main" count="267" uniqueCount="181">
  <si>
    <t>Parameter</t>
  </si>
  <si>
    <t>Value</t>
  </si>
  <si>
    <t>Unit</t>
  </si>
  <si>
    <t>NH3 product flowrate (from Aspen stream table)</t>
  </si>
  <si>
    <t>kg/hr</t>
  </si>
  <si>
    <t>Operating hours per year</t>
  </si>
  <si>
    <t>hr/yr</t>
  </si>
  <si>
    <t>%/yr</t>
  </si>
  <si>
    <t>USD</t>
  </si>
  <si>
    <t>Contingency (% of TCC)</t>
  </si>
  <si>
    <t>%</t>
  </si>
  <si>
    <t>Engineering &amp; PMC (% of TCC)</t>
  </si>
  <si>
    <t>Working Capital (% of FCI)</t>
  </si>
  <si>
    <t>Salvage value (% of FCI, end of life)</t>
  </si>
  <si>
    <t>USD/hr</t>
  </si>
  <si>
    <t>Maintenance (% of FCI per year)</t>
  </si>
  <si>
    <t>USD/yr</t>
  </si>
  <si>
    <t>Insurance &amp; overheads (% of FCI per year)</t>
  </si>
  <si>
    <t>USD/t</t>
  </si>
  <si>
    <t>Depreciation rate (% of FCI per year, SLM)</t>
  </si>
  <si>
    <t>CAPITAL</t>
  </si>
  <si>
    <t>Fixed Capital Investment (FCI)</t>
  </si>
  <si>
    <t>Working Capital Investment (WCI)</t>
  </si>
  <si>
    <t>Salvage value (end of life)</t>
  </si>
  <si>
    <t>Annual depreciation (SLM)</t>
  </si>
  <si>
    <t>PRODUCTION</t>
  </si>
  <si>
    <t>t/yr</t>
  </si>
  <si>
    <t>OPEX</t>
  </si>
  <si>
    <t>Total OPEX (full capacity)</t>
  </si>
  <si>
    <t>OPEX per tonne NH3</t>
  </si>
  <si>
    <t>Units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</si>
  <si>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</si>
  <si>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</si>
  <si>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</si>
  <si>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</si>
  <si>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</si>
  <si>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</si>
  <si>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</si>
  <si>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</si>
  <si>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</si>
  <si>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</si>
  <si>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</si>
  <si>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</si>
  <si>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</si>
  <si>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CAPITAL EXPENDITURE</t>
  </si>
  <si>
    <t>REVENUE</t>
  </si>
  <si>
    <t>MM t/yr</t>
  </si>
  <si>
    <t>OPERATING COSTS</t>
  </si>
  <si>
    <t>PROFITABILITY</t>
  </si>
  <si>
    <t>Discount Factor</t>
  </si>
  <si>
    <t>IRR</t>
  </si>
  <si>
    <t>DPBP (Year)</t>
  </si>
  <si>
    <t>KPI</t>
  </si>
  <si>
    <t>PLANT</t>
  </si>
  <si>
    <t>Annual NH3 Production</t>
  </si>
  <si>
    <t>NH3 Flowrate (Aspen input)</t>
  </si>
  <si>
    <t>Operating Hours</t>
  </si>
  <si>
    <t>Aspen ICARUS Total Capital Cost</t>
  </si>
  <si>
    <t>Working Capital (WCI)</t>
  </si>
  <si>
    <t>Land</t>
  </si>
  <si>
    <t>Total Capital Outlay</t>
  </si>
  <si>
    <t>Capital Intensity (USD per t/yr)</t>
  </si>
  <si>
    <t>USD/(t/yr)</t>
  </si>
  <si>
    <t>Salvage Value</t>
  </si>
  <si>
    <t>Annual Utilities Cost</t>
  </si>
  <si>
    <t>NH3 Base Selling Price</t>
  </si>
  <si>
    <t>Annual Revenue (full capacity)</t>
  </si>
  <si>
    <t>Gross Margin (%)</t>
  </si>
  <si>
    <t>FINANCIAL RESULTS</t>
  </si>
  <si>
    <t>Net Profit (full cap, after tax)</t>
  </si>
  <si>
    <t>NPV (@ WACC)</t>
  </si>
  <si>
    <t>DPBP</t>
  </si>
  <si>
    <t>Year</t>
  </si>
  <si>
    <t>WACC</t>
  </si>
  <si>
    <t>Tax Rate</t>
  </si>
  <si>
    <t>Cost Item</t>
  </si>
  <si>
    <t>USD/t NH3</t>
  </si>
  <si>
    <t>% of Total</t>
  </si>
  <si>
    <t>Electricity</t>
  </si>
  <si>
    <t>Cooling Water</t>
  </si>
  <si>
    <t>Refrigerant (NH3 chiller)</t>
  </si>
  <si>
    <t>Maintenance (3% FCI/yr)</t>
  </si>
  <si>
    <t>Labour &amp; Supervision</t>
  </si>
  <si>
    <t>Insurance &amp; Overheads (1% FCI)</t>
  </si>
  <si>
    <t>Catalyst &amp; Chemicals</t>
  </si>
  <si>
    <t>Water &amp; Miscellaneous</t>
  </si>
  <si>
    <t>TOTAL OPEX</t>
  </si>
  <si>
    <t>TOPSOE Ammonia TEA</t>
  </si>
  <si>
    <t>TOPSOE Ammonia - Cash Flow Model (USD)</t>
  </si>
  <si>
    <t>TOPSOE Ammonia TEA - Key Performance Indicators</t>
  </si>
  <si>
    <t>MM USD</t>
  </si>
  <si>
    <t>NH3 selling price escalation</t>
  </si>
  <si>
    <t>Plant operating life</t>
  </si>
  <si>
    <t>Land cost</t>
  </si>
  <si>
    <t>Electricity cost</t>
  </si>
  <si>
    <t>Cooling water cost</t>
  </si>
  <si>
    <t>Refrigerant cost</t>
  </si>
  <si>
    <t>Labour &amp; supervision</t>
  </si>
  <si>
    <t>Catalyst &amp; chemicals</t>
  </si>
  <si>
    <t>Water &amp; miscellaneous</t>
  </si>
  <si>
    <t>NH3 base selling price</t>
  </si>
  <si>
    <t>Discount rate / WACC</t>
  </si>
  <si>
    <t>Corporate tax rate</t>
  </si>
  <si>
    <t>FCI</t>
  </si>
  <si>
    <t>WC</t>
  </si>
  <si>
    <t>Annual Production</t>
  </si>
  <si>
    <t>NH3 Selling Price</t>
  </si>
  <si>
    <t>Annual Revenue</t>
  </si>
  <si>
    <t>Maintenance</t>
  </si>
  <si>
    <t>Insurance &amp; Overheads</t>
  </si>
  <si>
    <t>Total Annual Operating Cost</t>
  </si>
  <si>
    <t>Depreciation</t>
  </si>
  <si>
    <t>Taxable Income</t>
  </si>
  <si>
    <t>Tax (30%)</t>
  </si>
  <si>
    <t>Net Profit</t>
  </si>
  <si>
    <t>Salvage Value (Year 12)</t>
  </si>
  <si>
    <t>Annual After-Tax Cash Flow</t>
  </si>
  <si>
    <t>Annual Discounted Cash Flow</t>
  </si>
  <si>
    <t>Cumulative Discounted Cash Flow</t>
  </si>
  <si>
    <t>NPV</t>
  </si>
  <si>
    <t>Annual NH3 production</t>
  </si>
  <si>
    <t>Annual revenue</t>
  </si>
  <si>
    <t>Total utilities</t>
  </si>
  <si>
    <t>Insurance &amp; overheads</t>
  </si>
  <si>
    <t>Total OPEX</t>
  </si>
  <si>
    <t xml:space="preserve">PROFITABILITY </t>
  </si>
  <si>
    <t xml:space="preserve">Taxable income </t>
  </si>
  <si>
    <t>Tax</t>
  </si>
  <si>
    <t>Net profit</t>
  </si>
  <si>
    <t xml:space="preserve">After-tax cash flow </t>
  </si>
  <si>
    <t>Gross margin</t>
  </si>
  <si>
    <t>Annual Cash Flow</t>
  </si>
  <si>
    <t>Equipment</t>
  </si>
  <si>
    <t>Equip. Cost (USD)</t>
  </si>
  <si>
    <t>Installed Cost (USD)</t>
  </si>
  <si>
    <t>Utility Cost (USD/hr)</t>
  </si>
  <si>
    <t>WHB</t>
  </si>
  <si>
    <t>COOLER</t>
  </si>
  <si>
    <t>KO-DRUM</t>
  </si>
  <si>
    <t>CO2-PRE</t>
  </si>
  <si>
    <t>METH-PH</t>
  </si>
  <si>
    <t>2R</t>
  </si>
  <si>
    <t>LTSC</t>
  </si>
  <si>
    <t>BED1</t>
  </si>
  <si>
    <t>MLTCOMP</t>
  </si>
  <si>
    <t>BED-PH</t>
  </si>
  <si>
    <t>FLASH</t>
  </si>
  <si>
    <t>LOOP-MIX</t>
  </si>
  <si>
    <t>MIXER</t>
  </si>
  <si>
    <t>PREHEAT</t>
  </si>
  <si>
    <t>HDS</t>
  </si>
  <si>
    <t>HTSC</t>
  </si>
  <si>
    <t>NH3-CHIL</t>
  </si>
  <si>
    <t>RM-H20</t>
  </si>
  <si>
    <t>VALVE</t>
  </si>
  <si>
    <t>SEP-DRUM</t>
  </si>
  <si>
    <t>METHNAT</t>
  </si>
  <si>
    <t>1R-PHEAT</t>
  </si>
  <si>
    <t>1R</t>
  </si>
  <si>
    <t>ABS</t>
  </si>
  <si>
    <t>TOTAL</t>
  </si>
  <si>
    <t>Equipment Cost Summary</t>
  </si>
  <si>
    <t>Cost Index</t>
  </si>
  <si>
    <t>Total Capital Cost (2022)</t>
  </si>
  <si>
    <t>Total Capital Cost (2025)</t>
  </si>
  <si>
    <t>Equip. Wt (lb)</t>
  </si>
  <si>
    <t>Installed Wt (lb)</t>
  </si>
  <si>
    <t>FCI spend Year 0</t>
  </si>
  <si>
    <t>ROI</t>
  </si>
  <si>
    <t>Total capital Investment (TCI)</t>
  </si>
  <si>
    <t>yr</t>
  </si>
  <si>
    <t xml:space="preserve">Ramp-up factor Year 1 </t>
  </si>
  <si>
    <t xml:space="preserve">Ramp-up factor Year 2 </t>
  </si>
  <si>
    <t>yrs</t>
  </si>
  <si>
    <t>Calculations</t>
  </si>
  <si>
    <t>PLANT CAPACITY</t>
  </si>
  <si>
    <t>CAPITAL COSTS (CAPEX)</t>
  </si>
  <si>
    <t>OPERATING COSTS (OPEX)</t>
  </si>
  <si>
    <t>FINANCIAL PARAMETERS</t>
  </si>
  <si>
    <t>OPEX Breakdown (Full Capacity)</t>
  </si>
  <si>
    <t xml:space="preserve">Utilities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</si>
</sst>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#,##0.000"/>
  </numFmts>
  <fonts count="22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02">
    <xf numFmtId="0" fontId="0" fillId="0" borderId="0" xfId="0"/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right" vertical="center"/>
    </xf>
    <xf numFmtId="4" fontId="3" fillId="0" borderId="2" xfId="0" applyNumberFormat="1" applyFont="1" applyBorder="1" applyAlignment="1">
      <alignment horizontal="right" vertical="center"/>
    </xf>
    <xf numFmtId="2" fontId="3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3" fontId="3" fillId="0" borderId="6" xfId="0" applyNumberFormat="1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4" fontId="2" fillId="0" borderId="5" xfId="0" applyNumberFormat="1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right" vertical="center"/>
    </xf>
    <xf numFmtId="3" fontId="3" fillId="0" borderId="5" xfId="0" applyNumberFormat="1" applyFont="1" applyBorder="1" applyAlignment="1">
      <alignment horizontal="right" vertical="center"/>
    </xf>
    <xf numFmtId="4" fontId="3" fillId="0" borderId="5" xfId="0" applyNumberFormat="1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3" fontId="2" fillId="0" borderId="5" xfId="0" applyNumberFormat="1" applyFont="1" applyBorder="1" applyAlignment="1">
      <alignment horizontal="right" vertical="center"/>
    </xf>
    <xf numFmtId="0" fontId="10" fillId="0" borderId="0" xfId="0" applyFont="1"/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3" fontId="11" fillId="0" borderId="2" xfId="0" applyNumberFormat="1" applyFont="1" applyBorder="1" applyAlignment="1">
      <alignment horizontal="right" vertical="center"/>
    </xf>
    <xf numFmtId="0" fontId="12" fillId="0" borderId="6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3" fontId="0" fillId="0" borderId="0" xfId="0" applyNumberFormat="1"/>
    <xf numFmtId="2" fontId="12" fillId="0" borderId="2" xfId="0" applyNumberFormat="1" applyFont="1" applyBorder="1" applyAlignment="1">
      <alignment horizontal="left" vertical="center"/>
    </xf>
    <xf numFmtId="2" fontId="4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left" vertical="center"/>
    </xf>
    <xf numFmtId="2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10" fontId="2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right" vertical="center"/>
    </xf>
    <xf numFmtId="0" fontId="13" fillId="0" borderId="5" xfId="0" applyFont="1" applyBorder="1"/>
    <xf numFmtId="0" fontId="14" fillId="0" borderId="5" xfId="0" applyFont="1" applyBorder="1"/>
    <xf numFmtId="165" fontId="14" fillId="0" borderId="5" xfId="0" applyNumberFormat="1" applyFont="1" applyBorder="1"/>
    <xf numFmtId="2" fontId="11" fillId="0" borderId="6" xfId="0" applyNumberFormat="1" applyFont="1" applyBorder="1" applyAlignment="1">
      <alignment horizontal="right" vertical="center"/>
    </xf>
    <xf numFmtId="3" fontId="11" fillId="0" borderId="5" xfId="0" applyNumberFormat="1" applyFont="1" applyBorder="1" applyAlignment="1">
      <alignment horizontal="right" vertical="center"/>
    </xf>
    <xf numFmtId="0" fontId="13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4" fillId="0" borderId="5" xfId="0" applyNumberFormat="1" applyFont="1" applyBorder="1"/>
    <xf numFmtId="3" fontId="13" fillId="0" borderId="5" xfId="0" applyNumberFormat="1" applyFont="1" applyBorder="1"/>
    <xf numFmtId="166" fontId="13" fillId="0" borderId="5" xfId="0" applyNumberFormat="1" applyFont="1" applyBorder="1"/>
    <xf numFmtId="0" fontId="7" fillId="0" borderId="0" xfId="0" applyFont="1"/>
    <xf numFmtId="0" fontId="11" fillId="0" borderId="2" xfId="0" applyFont="1" applyBorder="1" applyAlignment="1">
      <alignment horizontal="left" vertical="center"/>
    </xf>
    <xf numFmtId="2" fontId="2" fillId="0" borderId="19" xfId="0" applyNumberFormat="1" applyFont="1" applyBorder="1" applyAlignment="1">
      <alignment horizontal="center" vertical="center"/>
    </xf>
    <xf numFmtId="10" fontId="2" fillId="0" borderId="19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10" fontId="2" fillId="0" borderId="19" xfId="1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0" fillId="0" borderId="5" xfId="0" applyFont="1" applyBorder="1"/>
    <xf numFmtId="0" fontId="1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center" vertical="center"/>
    </xf>
    <xf numFmtId="0" fontId="18" fillId="0" borderId="5" xfId="0" applyFont="1" applyBorder="1"/>
    <xf numFmtId="0" fontId="1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2" fillId="0" borderId="2" xfId="0" applyFont="1" applyBorder="1" applyAlignment="1">
      <alignment horizontal="left" vertical="center"/>
    </xf>
    <xf numFmtId="0" fontId="0" fillId="0" borderId="4" xfId="0" applyBorder="1"/>
    <xf numFmtId="0" fontId="17" fillId="0" borderId="1" xfId="0" applyFont="1" applyBorder="1" applyAlignment="1">
      <alignment horizontal="center" vertical="center"/>
    </xf>
    <xf numFmtId="0" fontId="18" fillId="0" borderId="3" xfId="0" applyFont="1" applyBorder="1"/>
    <xf numFmtId="2" fontId="2" fillId="0" borderId="1" xfId="0" applyNumberFormat="1" applyFont="1" applyBorder="1" applyAlignment="1">
      <alignment horizontal="left" vertical="center"/>
    </xf>
    <xf numFmtId="2" fontId="0" fillId="0" borderId="3" xfId="0" applyNumberFormat="1" applyBorder="1"/>
    <xf numFmtId="0" fontId="1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showGridLines="0" topLeftCell="A16" zoomScaleNormal="100" workbookViewId="0">
      <selection activeCell="B38" sqref="B38"/>
    </sheetView>
  </sheetViews>
  <sheetFormatPr defaultRowHeight="14.4" x14ac:dyDescent="0.3"/>
  <cols>
    <col min="1" max="1" width="40.21875" bestFit="1" customWidth="1"/>
    <col min="2" max="2" width="13.33203125" bestFit="1" customWidth="1"/>
    <col min="3" max="3" width="7.88671875" style="61" bestFit="1" customWidth="1"/>
  </cols>
  <sheetData>
    <row r="1" spans="1:3" ht="21" x14ac:dyDescent="0.4">
      <c r="A1" s="76" t="s">
        <v>87</v>
      </c>
      <c r="B1" s="77"/>
      <c r="C1" s="77"/>
    </row>
    <row r="2" spans="1:3" x14ac:dyDescent="0.3">
      <c r="A2" s="16" t="s">
        <v>0</v>
      </c>
      <c r="B2" s="17" t="s">
        <v>1</v>
      </c>
      <c r="C2" s="27" t="s">
        <v>2</v>
      </c>
    </row>
    <row r="3" spans="1:3" ht="15.6" x14ac:dyDescent="0.3">
      <c r="A3" s="78" t="s">
        <v>175</v>
      </c>
      <c r="B3" s="79"/>
      <c r="C3" s="79"/>
    </row>
    <row r="4" spans="1:3" x14ac:dyDescent="0.3">
      <c r="A4" s="31" t="s">
        <v>3</v>
      </c>
      <c r="B4" s="20">
        <v>15000</v>
      </c>
      <c r="C4" s="28" t="s">
        <v>4</v>
      </c>
    </row>
    <row r="5" spans="1:3" x14ac:dyDescent="0.3">
      <c r="A5" s="19" t="s">
        <v>5</v>
      </c>
      <c r="B5" s="25">
        <v>8000</v>
      </c>
      <c r="C5" s="28" t="s">
        <v>6</v>
      </c>
    </row>
    <row r="6" spans="1:3" x14ac:dyDescent="0.3">
      <c r="A6" s="31" t="s">
        <v>91</v>
      </c>
      <c r="B6" s="21">
        <v>2</v>
      </c>
      <c r="C6" s="28" t="s">
        <v>7</v>
      </c>
    </row>
    <row r="7" spans="1:3" x14ac:dyDescent="0.3">
      <c r="A7" s="31" t="s">
        <v>92</v>
      </c>
      <c r="B7" s="25">
        <v>10</v>
      </c>
      <c r="C7" s="28" t="s">
        <v>173</v>
      </c>
    </row>
    <row r="8" spans="1:3" x14ac:dyDescent="0.3">
      <c r="A8" s="31" t="s">
        <v>171</v>
      </c>
      <c r="B8" s="21">
        <v>0.7</v>
      </c>
      <c r="C8" s="28"/>
    </row>
    <row r="9" spans="1:3" x14ac:dyDescent="0.3">
      <c r="A9" s="31" t="s">
        <v>172</v>
      </c>
      <c r="B9" s="21">
        <v>0.85</v>
      </c>
      <c r="C9" s="28"/>
    </row>
    <row r="11" spans="1:3" ht="15.6" x14ac:dyDescent="0.3">
      <c r="A11" s="78" t="s">
        <v>176</v>
      </c>
      <c r="B11" s="80"/>
      <c r="C11" s="80"/>
    </row>
    <row r="12" spans="1:3" x14ac:dyDescent="0.3">
      <c r="A12" s="31" t="s">
        <v>162</v>
      </c>
      <c r="B12" s="57">
        <f>786.7/816</f>
        <v>0.96409313725490198</v>
      </c>
      <c r="C12" s="60"/>
    </row>
    <row r="13" spans="1:3" x14ac:dyDescent="0.3">
      <c r="A13" s="31" t="s">
        <v>163</v>
      </c>
      <c r="B13" s="62">
        <v>25369700</v>
      </c>
      <c r="C13" s="60" t="s">
        <v>8</v>
      </c>
    </row>
    <row r="14" spans="1:3" x14ac:dyDescent="0.3">
      <c r="A14" s="31" t="s">
        <v>164</v>
      </c>
      <c r="B14" s="59">
        <f>25369700*B12</f>
        <v>24458753.664215688</v>
      </c>
      <c r="C14" s="28" t="s">
        <v>8</v>
      </c>
    </row>
    <row r="15" spans="1:3" x14ac:dyDescent="0.3">
      <c r="A15" s="33" t="s">
        <v>9</v>
      </c>
      <c r="B15" s="58">
        <v>15</v>
      </c>
      <c r="C15" s="29" t="s">
        <v>10</v>
      </c>
    </row>
    <row r="16" spans="1:3" x14ac:dyDescent="0.3">
      <c r="A16" s="34" t="s">
        <v>11</v>
      </c>
      <c r="B16" s="54">
        <v>10</v>
      </c>
      <c r="C16" s="30" t="s">
        <v>10</v>
      </c>
    </row>
    <row r="17" spans="1:3" x14ac:dyDescent="0.3">
      <c r="A17" s="34" t="s">
        <v>93</v>
      </c>
      <c r="B17" s="32">
        <v>200000</v>
      </c>
      <c r="C17" s="30" t="s">
        <v>8</v>
      </c>
    </row>
    <row r="18" spans="1:3" x14ac:dyDescent="0.3">
      <c r="A18" s="34" t="s">
        <v>12</v>
      </c>
      <c r="B18" s="54">
        <v>25</v>
      </c>
      <c r="C18" s="30" t="s">
        <v>10</v>
      </c>
    </row>
    <row r="19" spans="1:3" x14ac:dyDescent="0.3">
      <c r="A19" s="34" t="s">
        <v>167</v>
      </c>
      <c r="B19" s="54">
        <v>0.5</v>
      </c>
      <c r="C19" s="30"/>
    </row>
    <row r="20" spans="1:3" x14ac:dyDescent="0.3">
      <c r="A20" s="34" t="s">
        <v>13</v>
      </c>
      <c r="B20" s="54">
        <v>10</v>
      </c>
      <c r="C20" s="30" t="s">
        <v>10</v>
      </c>
    </row>
    <row r="22" spans="1:3" ht="15.6" x14ac:dyDescent="0.3">
      <c r="A22" s="78" t="s">
        <v>177</v>
      </c>
      <c r="B22" s="79"/>
      <c r="C22" s="79"/>
    </row>
    <row r="23" spans="1:3" x14ac:dyDescent="0.3">
      <c r="A23" s="31" t="s">
        <v>94</v>
      </c>
      <c r="B23" s="20">
        <v>1508.9549999999999</v>
      </c>
      <c r="C23" s="28" t="s">
        <v>14</v>
      </c>
    </row>
    <row r="24" spans="1:3" x14ac:dyDescent="0.3">
      <c r="A24" s="31" t="s">
        <v>95</v>
      </c>
      <c r="B24" s="20">
        <v>109.456</v>
      </c>
      <c r="C24" s="28" t="s">
        <v>14</v>
      </c>
    </row>
    <row r="25" spans="1:3" x14ac:dyDescent="0.3">
      <c r="A25" s="31" t="s">
        <v>96</v>
      </c>
      <c r="B25" s="20">
        <v>146.547</v>
      </c>
      <c r="C25" s="28" t="s">
        <v>14</v>
      </c>
    </row>
    <row r="26" spans="1:3" x14ac:dyDescent="0.3">
      <c r="A26" s="19" t="s">
        <v>15</v>
      </c>
      <c r="B26" s="21">
        <v>3</v>
      </c>
      <c r="C26" s="28" t="s">
        <v>10</v>
      </c>
    </row>
    <row r="27" spans="1:3" x14ac:dyDescent="0.3">
      <c r="A27" s="31" t="s">
        <v>97</v>
      </c>
      <c r="B27" s="20">
        <v>5000000</v>
      </c>
      <c r="C27" s="28" t="s">
        <v>16</v>
      </c>
    </row>
    <row r="28" spans="1:3" x14ac:dyDescent="0.3">
      <c r="A28" s="19" t="s">
        <v>17</v>
      </c>
      <c r="B28" s="21">
        <v>1</v>
      </c>
      <c r="C28" s="28" t="s">
        <v>10</v>
      </c>
    </row>
    <row r="29" spans="1:3" x14ac:dyDescent="0.3">
      <c r="A29" s="31" t="s">
        <v>98</v>
      </c>
      <c r="B29" s="25">
        <v>2000000</v>
      </c>
      <c r="C29" s="28" t="s">
        <v>16</v>
      </c>
    </row>
    <row r="30" spans="1:3" x14ac:dyDescent="0.3">
      <c r="A30" s="31" t="s">
        <v>99</v>
      </c>
      <c r="B30" s="25">
        <v>500000</v>
      </c>
      <c r="C30" s="28" t="s">
        <v>16</v>
      </c>
    </row>
    <row r="31" spans="1:3" x14ac:dyDescent="0.3">
      <c r="A31" s="36"/>
      <c r="B31" s="37"/>
      <c r="C31" s="35"/>
    </row>
    <row r="33" spans="1:3" ht="15.6" x14ac:dyDescent="0.3">
      <c r="A33" s="78" t="s">
        <v>45</v>
      </c>
      <c r="B33" s="79"/>
      <c r="C33" s="79"/>
    </row>
    <row r="34" spans="1:3" x14ac:dyDescent="0.3">
      <c r="A34" s="31" t="s">
        <v>100</v>
      </c>
      <c r="B34" s="25">
        <v>500</v>
      </c>
      <c r="C34" s="28" t="s">
        <v>18</v>
      </c>
    </row>
    <row r="36" spans="1:3" ht="15.6" x14ac:dyDescent="0.3">
      <c r="A36" s="78" t="s">
        <v>178</v>
      </c>
      <c r="B36" s="79"/>
      <c r="C36" s="79"/>
    </row>
    <row r="37" spans="1:3" x14ac:dyDescent="0.3">
      <c r="A37" s="31" t="s">
        <v>101</v>
      </c>
      <c r="B37" s="21">
        <v>15</v>
      </c>
      <c r="C37" s="28" t="s">
        <v>10</v>
      </c>
    </row>
    <row r="38" spans="1:3" x14ac:dyDescent="0.3">
      <c r="A38" s="31" t="s">
        <v>102</v>
      </c>
      <c r="B38" s="21">
        <v>30</v>
      </c>
      <c r="C38" s="28" t="s">
        <v>10</v>
      </c>
    </row>
    <row r="39" spans="1:3" x14ac:dyDescent="0.3">
      <c r="A39" s="19" t="s">
        <v>19</v>
      </c>
      <c r="B39" s="21">
        <v>9</v>
      </c>
      <c r="C39" s="28" t="s">
        <v>10</v>
      </c>
    </row>
  </sheetData>
  <mergeCells count="6">
    <mergeCell ref="A1:C1"/>
    <mergeCell ref="A22:C22"/>
    <mergeCell ref="A3:C3"/>
    <mergeCell ref="A33:C33"/>
    <mergeCell ref="A36:C36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GridLines="0" workbookViewId="0">
      <selection activeCell="B26" sqref="B26"/>
    </sheetView>
  </sheetViews>
  <sheetFormatPr defaultRowHeight="14.4" x14ac:dyDescent="0.3"/>
  <cols>
    <col min="1" max="1" width="34.33203125" bestFit="1" customWidth="1"/>
    <col min="2" max="2" width="14.33203125" bestFit="1" customWidth="1"/>
    <col min="3" max="3" width="34.6640625" customWidth="1"/>
    <col min="7" max="7" width="10.33203125" bestFit="1" customWidth="1"/>
  </cols>
  <sheetData>
    <row r="1" spans="1:7" ht="21" x14ac:dyDescent="0.4">
      <c r="A1" s="76" t="s">
        <v>174</v>
      </c>
      <c r="B1" s="77"/>
      <c r="C1" s="77"/>
    </row>
    <row r="2" spans="1:7" x14ac:dyDescent="0.3">
      <c r="A2" s="16"/>
      <c r="B2" s="17"/>
      <c r="C2" s="27" t="s">
        <v>2</v>
      </c>
    </row>
    <row r="3" spans="1:7" ht="15.6" x14ac:dyDescent="0.3">
      <c r="A3" s="81" t="s">
        <v>20</v>
      </c>
      <c r="B3" s="82"/>
      <c r="C3" s="83"/>
    </row>
    <row r="4" spans="1:7" x14ac:dyDescent="0.3">
      <c r="A4" s="13" t="s">
        <v>21</v>
      </c>
      <c r="B4" s="14">
        <f>Input!B14*(1+Input!B15/100+Input!B16/100)</f>
        <v>30573442.080269609</v>
      </c>
      <c r="C4" s="29" t="s">
        <v>8</v>
      </c>
    </row>
    <row r="5" spans="1:7" x14ac:dyDescent="0.3">
      <c r="A5" s="1" t="s">
        <v>22</v>
      </c>
      <c r="B5" s="2">
        <f>Calculations!B4*Input!B18/100</f>
        <v>7643360.5200674022</v>
      </c>
      <c r="C5" s="30" t="s">
        <v>8</v>
      </c>
    </row>
    <row r="6" spans="1:7" x14ac:dyDescent="0.3">
      <c r="A6" s="1" t="s">
        <v>23</v>
      </c>
      <c r="B6" s="2">
        <f>Calculations!B4*Input!B20/100+Input!B17</f>
        <v>3257344.208026961</v>
      </c>
      <c r="C6" s="30" t="s">
        <v>8</v>
      </c>
    </row>
    <row r="7" spans="1:7" x14ac:dyDescent="0.3">
      <c r="A7" s="66" t="s">
        <v>169</v>
      </c>
      <c r="B7" s="2">
        <f>Calculations!B4+Calculations!B5+Input!B17</f>
        <v>38416802.600337014</v>
      </c>
      <c r="C7" s="30" t="s">
        <v>8</v>
      </c>
    </row>
    <row r="8" spans="1:7" x14ac:dyDescent="0.3">
      <c r="A8" s="1" t="s">
        <v>24</v>
      </c>
      <c r="B8" s="2">
        <f>Calculations!B4*Input!B39/100</f>
        <v>2751609.7872242648</v>
      </c>
      <c r="C8" s="30" t="s">
        <v>16</v>
      </c>
    </row>
    <row r="10" spans="1:7" ht="15.6" x14ac:dyDescent="0.3">
      <c r="A10" s="81" t="s">
        <v>25</v>
      </c>
      <c r="B10" s="82"/>
      <c r="C10" s="83"/>
    </row>
    <row r="11" spans="1:7" x14ac:dyDescent="0.3">
      <c r="A11" s="33" t="s">
        <v>120</v>
      </c>
      <c r="B11" s="15">
        <f>Input!B4*Input!B5/1000</f>
        <v>120000</v>
      </c>
      <c r="C11" s="29" t="s">
        <v>26</v>
      </c>
    </row>
    <row r="12" spans="1:7" x14ac:dyDescent="0.3">
      <c r="A12" s="34" t="s">
        <v>121</v>
      </c>
      <c r="B12" s="2">
        <f>Calculations!B11*Input!B34</f>
        <v>60000000</v>
      </c>
      <c r="C12" s="30" t="s">
        <v>16</v>
      </c>
    </row>
    <row r="14" spans="1:7" ht="15.6" x14ac:dyDescent="0.3">
      <c r="A14" s="81" t="s">
        <v>27</v>
      </c>
      <c r="B14" s="82"/>
      <c r="C14" s="83"/>
    </row>
    <row r="15" spans="1:7" x14ac:dyDescent="0.3">
      <c r="A15" s="33" t="s">
        <v>122</v>
      </c>
      <c r="B15" s="14">
        <f>(Input!B23+Input!B24+Input!B25)*Input!B5</f>
        <v>14119663.999999998</v>
      </c>
      <c r="C15" s="29" t="s">
        <v>16</v>
      </c>
      <c r="G15" s="38"/>
    </row>
    <row r="16" spans="1:7" x14ac:dyDescent="0.3">
      <c r="A16" s="34" t="s">
        <v>108</v>
      </c>
      <c r="B16" s="2">
        <f>Calculations!B4*Input!B26/100</f>
        <v>917203.26240808831</v>
      </c>
      <c r="C16" s="30" t="s">
        <v>16</v>
      </c>
    </row>
    <row r="17" spans="1:3" x14ac:dyDescent="0.3">
      <c r="A17" s="34" t="s">
        <v>123</v>
      </c>
      <c r="B17" s="2">
        <f>Calculations!B4*Input!B28/100</f>
        <v>305734.42080269608</v>
      </c>
      <c r="C17" s="30" t="s">
        <v>16</v>
      </c>
    </row>
    <row r="18" spans="1:3" x14ac:dyDescent="0.3">
      <c r="A18" s="34" t="s">
        <v>124</v>
      </c>
      <c r="B18" s="2">
        <f>Calculations!B15+Calculations!B16+Input!B27+Calculations!B17+Input!B29+Input!B30</f>
        <v>22842601.683210783</v>
      </c>
      <c r="C18" s="30" t="s">
        <v>16</v>
      </c>
    </row>
    <row r="19" spans="1:3" x14ac:dyDescent="0.3">
      <c r="A19" s="1" t="s">
        <v>29</v>
      </c>
      <c r="B19" s="3">
        <f>IF(Calculations!B11&gt;0,Calculations!B18/Calculations!B11,0)</f>
        <v>190.35501402675652</v>
      </c>
      <c r="C19" s="30" t="s">
        <v>18</v>
      </c>
    </row>
    <row r="21" spans="1:3" ht="15.6" x14ac:dyDescent="0.3">
      <c r="A21" s="81" t="s">
        <v>125</v>
      </c>
      <c r="B21" s="82"/>
      <c r="C21" s="83"/>
    </row>
    <row r="22" spans="1:3" x14ac:dyDescent="0.3">
      <c r="A22" s="33" t="s">
        <v>126</v>
      </c>
      <c r="B22" s="14">
        <f>Calculations!B12-Calculations!B18-Calculations!B8</f>
        <v>34405788.529564954</v>
      </c>
      <c r="C22" s="29" t="s">
        <v>16</v>
      </c>
    </row>
    <row r="23" spans="1:3" x14ac:dyDescent="0.3">
      <c r="A23" s="34" t="s">
        <v>127</v>
      </c>
      <c r="B23" s="2">
        <f>MAX(0,Calculations!B22)*Input!B38/100</f>
        <v>10321736.558869487</v>
      </c>
      <c r="C23" s="30" t="s">
        <v>16</v>
      </c>
    </row>
    <row r="24" spans="1:3" x14ac:dyDescent="0.3">
      <c r="A24" s="34" t="s">
        <v>128</v>
      </c>
      <c r="B24" s="2">
        <f>Calculations!B22-Calculations!B23</f>
        <v>24084051.970695466</v>
      </c>
      <c r="C24" s="30" t="s">
        <v>16</v>
      </c>
    </row>
    <row r="25" spans="1:3" x14ac:dyDescent="0.3">
      <c r="A25" s="34" t="s">
        <v>129</v>
      </c>
      <c r="B25" s="2">
        <f>Calculations!B24+Calculations!B8</f>
        <v>26835661.757919729</v>
      </c>
      <c r="C25" s="30" t="s">
        <v>16</v>
      </c>
    </row>
    <row r="26" spans="1:3" x14ac:dyDescent="0.3">
      <c r="A26" s="34" t="s">
        <v>130</v>
      </c>
      <c r="B26" s="4">
        <f>IF(Calculations!B12&gt;0,(Calculations!B12-Calculations!B18)/Calculations!B12*100,0)</f>
        <v>61.928997194648694</v>
      </c>
      <c r="C26" s="30" t="s">
        <v>10</v>
      </c>
    </row>
  </sheetData>
  <mergeCells count="5">
    <mergeCell ref="A1:C1"/>
    <mergeCell ref="A21:C21"/>
    <mergeCell ref="A3:C3"/>
    <mergeCell ref="A10:C10"/>
    <mergeCell ref="A14:C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5"/>
  <sheetViews>
    <sheetView showGridLines="0" workbookViewId="0">
      <pane xSplit="2" ySplit="2" topLeftCell="C20" activePane="bottomRight" state="frozen"/>
      <selection pane="topRight"/>
      <selection pane="bottomLeft"/>
      <selection pane="bottomRight" activeCell="C35" sqref="C35"/>
    </sheetView>
  </sheetViews>
  <sheetFormatPr defaultRowHeight="14.4" x14ac:dyDescent="0.3"/>
  <cols>
    <col min="1" max="1" width="28.88671875" bestFit="1" customWidth="1"/>
    <col min="2" max="2" width="9.44140625" bestFit="1" customWidth="1"/>
    <col min="3" max="15" width="15.77734375" customWidth="1"/>
  </cols>
  <sheetData>
    <row r="1" spans="1:15" ht="21" x14ac:dyDescent="0.4">
      <c r="A1" s="86" t="s">
        <v>88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x14ac:dyDescent="0.3">
      <c r="A2" s="5"/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</row>
    <row r="3" spans="1:15" ht="15.6" x14ac:dyDescent="0.3">
      <c r="A3" s="90" t="s">
        <v>44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</row>
    <row r="4" spans="1:15" x14ac:dyDescent="0.3">
      <c r="A4" s="39" t="s">
        <v>59</v>
      </c>
      <c r="B4" s="40" t="s">
        <v>8</v>
      </c>
      <c r="C4" s="42">
        <f>-Input!B17</f>
        <v>-200000</v>
      </c>
      <c r="D4" s="43">
        <f>0</f>
        <v>0</v>
      </c>
      <c r="E4" s="43">
        <f>0</f>
        <v>0</v>
      </c>
      <c r="F4" s="43">
        <f>0</f>
        <v>0</v>
      </c>
      <c r="G4" s="43">
        <f>0</f>
        <v>0</v>
      </c>
      <c r="H4" s="43">
        <f>0</f>
        <v>0</v>
      </c>
      <c r="I4" s="43">
        <f>0</f>
        <v>0</v>
      </c>
      <c r="J4" s="43">
        <f>0</f>
        <v>0</v>
      </c>
      <c r="K4" s="43">
        <f>0</f>
        <v>0</v>
      </c>
      <c r="L4" s="43">
        <f>0</f>
        <v>0</v>
      </c>
      <c r="M4" s="43">
        <f>0</f>
        <v>0</v>
      </c>
      <c r="N4" s="43">
        <f>0</f>
        <v>0</v>
      </c>
      <c r="O4" s="42">
        <f>+Input!B17</f>
        <v>200000</v>
      </c>
    </row>
    <row r="5" spans="1:15" x14ac:dyDescent="0.3">
      <c r="A5" s="39" t="s">
        <v>103</v>
      </c>
      <c r="B5" s="40" t="s">
        <v>8</v>
      </c>
      <c r="C5" s="42">
        <f>- Calculations!B4*Input!B19</f>
        <v>-15286721.040134804</v>
      </c>
      <c r="D5" s="42">
        <f>-Calculations!B4*(1-Input!B19)</f>
        <v>-15286721.040134804</v>
      </c>
      <c r="E5" s="43">
        <f>0</f>
        <v>0</v>
      </c>
      <c r="F5" s="43">
        <f>0</f>
        <v>0</v>
      </c>
      <c r="G5" s="43">
        <f>0</f>
        <v>0</v>
      </c>
      <c r="H5" s="43">
        <f>0</f>
        <v>0</v>
      </c>
      <c r="I5" s="43">
        <f>0</f>
        <v>0</v>
      </c>
      <c r="J5" s="43">
        <f>0</f>
        <v>0</v>
      </c>
      <c r="K5" s="43">
        <f>0</f>
        <v>0</v>
      </c>
      <c r="L5" s="43">
        <f>0</f>
        <v>0</v>
      </c>
      <c r="M5" s="43">
        <f>0</f>
        <v>0</v>
      </c>
      <c r="N5" s="43">
        <f>0</f>
        <v>0</v>
      </c>
      <c r="O5" s="43">
        <f>0</f>
        <v>0</v>
      </c>
    </row>
    <row r="6" spans="1:15" x14ac:dyDescent="0.3">
      <c r="A6" s="39" t="s">
        <v>104</v>
      </c>
      <c r="B6" s="40" t="s">
        <v>8</v>
      </c>
      <c r="C6" s="43">
        <f>0</f>
        <v>0</v>
      </c>
      <c r="D6" s="43">
        <f>0</f>
        <v>0</v>
      </c>
      <c r="E6" s="42">
        <f>-Calculations!B5</f>
        <v>-7643360.5200674022</v>
      </c>
      <c r="F6" s="43">
        <f>0</f>
        <v>0</v>
      </c>
      <c r="G6" s="43">
        <f>0</f>
        <v>0</v>
      </c>
      <c r="H6" s="43">
        <f>0</f>
        <v>0</v>
      </c>
      <c r="I6" s="43">
        <f>0</f>
        <v>0</v>
      </c>
      <c r="J6" s="43">
        <f>0</f>
        <v>0</v>
      </c>
      <c r="K6" s="43">
        <f>0</f>
        <v>0</v>
      </c>
      <c r="L6" s="43">
        <f>0</f>
        <v>0</v>
      </c>
      <c r="M6" s="43">
        <f>0</f>
        <v>0</v>
      </c>
      <c r="N6" s="43">
        <f>0</f>
        <v>0</v>
      </c>
      <c r="O6" s="42">
        <f>+Calculations!B5</f>
        <v>7643360.5200674022</v>
      </c>
    </row>
    <row r="7" spans="1:15" x14ac:dyDescent="0.3">
      <c r="A7" s="88" t="s">
        <v>45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</row>
    <row r="8" spans="1:15" x14ac:dyDescent="0.3">
      <c r="A8" s="39" t="s">
        <v>105</v>
      </c>
      <c r="B8" s="40" t="s">
        <v>46</v>
      </c>
      <c r="C8" s="43">
        <f>0</f>
        <v>0</v>
      </c>
      <c r="D8" s="43">
        <f>0</f>
        <v>0</v>
      </c>
      <c r="E8" s="43">
        <f>0</f>
        <v>0</v>
      </c>
      <c r="F8" s="42">
        <f>Calculations!B11*Input!B8/1000000</f>
        <v>8.4000000000000005E-2</v>
      </c>
      <c r="G8" s="42">
        <f>Calculations!B11*Input!B9/1000000</f>
        <v>0.10199999999999999</v>
      </c>
      <c r="H8" s="42">
        <f>Calculations!B11*1/1000000</f>
        <v>0.12</v>
      </c>
      <c r="I8" s="42">
        <f>Calculations!B11*1/1000000</f>
        <v>0.12</v>
      </c>
      <c r="J8" s="42">
        <f>Calculations!B11*1/1000000</f>
        <v>0.12</v>
      </c>
      <c r="K8" s="42">
        <f>Calculations!B11*1/1000000</f>
        <v>0.12</v>
      </c>
      <c r="L8" s="42">
        <f>Calculations!B11*1/1000000</f>
        <v>0.12</v>
      </c>
      <c r="M8" s="42">
        <f>Calculations!B11*1/1000000</f>
        <v>0.12</v>
      </c>
      <c r="N8" s="42">
        <f>Calculations!B11*1/1000000</f>
        <v>0.12</v>
      </c>
      <c r="O8" s="42">
        <f>Calculations!B11*1/1000000</f>
        <v>0.12</v>
      </c>
    </row>
    <row r="9" spans="1:15" x14ac:dyDescent="0.3">
      <c r="A9" s="39" t="s">
        <v>106</v>
      </c>
      <c r="B9" s="40" t="s">
        <v>18</v>
      </c>
      <c r="C9" s="43">
        <f>0</f>
        <v>0</v>
      </c>
      <c r="D9" s="43">
        <f>0</f>
        <v>0</v>
      </c>
      <c r="E9" s="43">
        <f>0</f>
        <v>0</v>
      </c>
      <c r="F9" s="42">
        <f>Input!B34</f>
        <v>500</v>
      </c>
      <c r="G9" s="42">
        <f>Input!B34*(1+Input!B6/100)^1</f>
        <v>510</v>
      </c>
      <c r="H9" s="42">
        <f>Input!B34*(1+Input!B6/100)^2</f>
        <v>520.20000000000005</v>
      </c>
      <c r="I9" s="42">
        <f>Input!B34*(1+Input!B6/100)^3</f>
        <v>530.60399999999993</v>
      </c>
      <c r="J9" s="42">
        <f>Input!B34*(1+Input!B6/100)^4</f>
        <v>541.21608000000003</v>
      </c>
      <c r="K9" s="42">
        <f>Input!B34*(1+Input!B6/100)^5</f>
        <v>552.0404016</v>
      </c>
      <c r="L9" s="42">
        <f>Input!B34*(1+Input!B6/100)^6</f>
        <v>563.08120963200008</v>
      </c>
      <c r="M9" s="42">
        <f>Input!B34*(1+Input!B6/100)^7</f>
        <v>574.34283382463991</v>
      </c>
      <c r="N9" s="42">
        <f>Input!B34*(1+Input!B6/100)^8</f>
        <v>585.82969050113275</v>
      </c>
      <c r="O9" s="42">
        <f>Input!B34*(1+Input!B6/100)^9</f>
        <v>597.54628431115543</v>
      </c>
    </row>
    <row r="10" spans="1:15" x14ac:dyDescent="0.3">
      <c r="A10" s="39" t="s">
        <v>107</v>
      </c>
      <c r="B10" s="40" t="s">
        <v>8</v>
      </c>
      <c r="C10" s="43">
        <f>0</f>
        <v>0</v>
      </c>
      <c r="D10" s="43">
        <f>0</f>
        <v>0</v>
      </c>
      <c r="E10" s="43">
        <f>0</f>
        <v>0</v>
      </c>
      <c r="F10" s="42">
        <f>F8*1000000*F9</f>
        <v>42000000</v>
      </c>
      <c r="G10" s="42">
        <f t="shared" ref="F10:O10" si="0">G8*1000000*G9</f>
        <v>52020000</v>
      </c>
      <c r="H10" s="42">
        <f t="shared" si="0"/>
        <v>62424000.000000007</v>
      </c>
      <c r="I10" s="42">
        <f t="shared" si="0"/>
        <v>63672479.999999993</v>
      </c>
      <c r="J10" s="42">
        <f t="shared" si="0"/>
        <v>64945929.600000001</v>
      </c>
      <c r="K10" s="42">
        <f t="shared" si="0"/>
        <v>66244848.192000002</v>
      </c>
      <c r="L10" s="42">
        <f t="shared" si="0"/>
        <v>67569745.155840009</v>
      </c>
      <c r="M10" s="42">
        <f t="shared" si="0"/>
        <v>68921140.058956787</v>
      </c>
      <c r="N10" s="42">
        <f t="shared" si="0"/>
        <v>70299562.860135928</v>
      </c>
      <c r="O10" s="42">
        <f t="shared" si="0"/>
        <v>71705554.117338657</v>
      </c>
    </row>
    <row r="11" spans="1:15" ht="15.6" x14ac:dyDescent="0.3">
      <c r="A11" s="92" t="s">
        <v>47</v>
      </c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</row>
    <row r="12" spans="1:15" x14ac:dyDescent="0.3">
      <c r="A12" s="41" t="s">
        <v>180</v>
      </c>
      <c r="B12" s="40" t="s">
        <v>8</v>
      </c>
      <c r="C12" s="43">
        <f>0</f>
        <v>0</v>
      </c>
      <c r="D12" s="43">
        <f>0</f>
        <v>0</v>
      </c>
      <c r="E12" s="43">
        <f>0</f>
        <v>0</v>
      </c>
      <c r="F12" s="42">
        <f>(Input!B23+Input!B24+Input!B25)*Input!B5*Input!B8</f>
        <v>9883764.7999999989</v>
      </c>
      <c r="G12" s="42">
        <f>(Input!B23+Input!B24+Input!B25)*Input!B5*Input!B9</f>
        <v>12001714.399999999</v>
      </c>
      <c r="H12" s="42">
        <f>(Input!B23+Input!B24+Input!B25)*Input!B5*1</f>
        <v>14119663.999999998</v>
      </c>
      <c r="I12" s="42">
        <f>(Input!B23+Input!B24+Input!B25)*Input!B5*1</f>
        <v>14119663.999999998</v>
      </c>
      <c r="J12" s="42">
        <f>(Input!B23+Input!B24+Input!B25)*Input!B5*1</f>
        <v>14119663.999999998</v>
      </c>
      <c r="K12" s="42">
        <f>(Input!B23+Input!B24+Input!B25)*Input!B5*1</f>
        <v>14119663.999999998</v>
      </c>
      <c r="L12" s="42">
        <f>(Input!B23+Input!B24+Input!B25)*Input!B5*1</f>
        <v>14119663.999999998</v>
      </c>
      <c r="M12" s="42">
        <f>(Input!B23+Input!B24+Input!B25)*Input!B5*1</f>
        <v>14119663.999999998</v>
      </c>
      <c r="N12" s="42">
        <f>(Input!B23+Input!B24+Input!B25)*Input!B5*1</f>
        <v>14119663.999999998</v>
      </c>
      <c r="O12" s="42">
        <f>(Input!B23+Input!B24+Input!B25)*Input!B5*1</f>
        <v>14119663.999999998</v>
      </c>
    </row>
    <row r="13" spans="1:15" x14ac:dyDescent="0.3">
      <c r="A13" s="39" t="s">
        <v>108</v>
      </c>
      <c r="B13" s="40" t="s">
        <v>8</v>
      </c>
      <c r="C13" s="43">
        <f>0</f>
        <v>0</v>
      </c>
      <c r="D13" s="43">
        <f>0</f>
        <v>0</v>
      </c>
      <c r="E13" s="43">
        <f>0</f>
        <v>0</v>
      </c>
      <c r="F13" s="42">
        <f>Calculations!B4*Input!B26/100*Input!B8</f>
        <v>642042.28368566174</v>
      </c>
      <c r="G13" s="42">
        <f>Calculations!B4*Input!B26/100*Input!B9</f>
        <v>779622.77304687502</v>
      </c>
      <c r="H13" s="42">
        <f>Calculations!B4*Input!B26/100*1</f>
        <v>917203.26240808831</v>
      </c>
      <c r="I13" s="42">
        <f>Calculations!B4*Input!B26/100*1</f>
        <v>917203.26240808831</v>
      </c>
      <c r="J13" s="42">
        <f>Calculations!B4*Input!B26/100*1</f>
        <v>917203.26240808831</v>
      </c>
      <c r="K13" s="42">
        <f>Calculations!B4*Input!B26/100*1</f>
        <v>917203.26240808831</v>
      </c>
      <c r="L13" s="42">
        <f>Calculations!B4*Input!B26/100*1</f>
        <v>917203.26240808831</v>
      </c>
      <c r="M13" s="42">
        <f>Calculations!B4*Input!B26/100*1</f>
        <v>917203.26240808831</v>
      </c>
      <c r="N13" s="42">
        <f>Calculations!B4*Input!B26/100*1</f>
        <v>917203.26240808831</v>
      </c>
      <c r="O13" s="42">
        <f>Calculations!B4*Input!B26/100*1</f>
        <v>917203.26240808831</v>
      </c>
    </row>
    <row r="14" spans="1:15" x14ac:dyDescent="0.3">
      <c r="A14" s="39" t="s">
        <v>82</v>
      </c>
      <c r="B14" s="40" t="s">
        <v>8</v>
      </c>
      <c r="C14" s="43">
        <f>0</f>
        <v>0</v>
      </c>
      <c r="D14" s="43">
        <f>0</f>
        <v>0</v>
      </c>
      <c r="E14" s="43">
        <f>0</f>
        <v>0</v>
      </c>
      <c r="F14" s="42">
        <f>Input!B27</f>
        <v>5000000</v>
      </c>
      <c r="G14" s="42">
        <f>Input!B27</f>
        <v>5000000</v>
      </c>
      <c r="H14" s="42">
        <f>Input!B27</f>
        <v>5000000</v>
      </c>
      <c r="I14" s="42">
        <f>Input!B27</f>
        <v>5000000</v>
      </c>
      <c r="J14" s="42">
        <f>Input!B27</f>
        <v>5000000</v>
      </c>
      <c r="K14" s="42">
        <f>Input!B27</f>
        <v>5000000</v>
      </c>
      <c r="L14" s="42">
        <f>Input!B27</f>
        <v>5000000</v>
      </c>
      <c r="M14" s="42">
        <f>Input!B27</f>
        <v>5000000</v>
      </c>
      <c r="N14" s="42">
        <f>Input!B27</f>
        <v>5000000</v>
      </c>
      <c r="O14" s="42">
        <f>Input!B27</f>
        <v>5000000</v>
      </c>
    </row>
    <row r="15" spans="1:15" x14ac:dyDescent="0.3">
      <c r="A15" s="39" t="s">
        <v>109</v>
      </c>
      <c r="B15" s="40" t="s">
        <v>8</v>
      </c>
      <c r="C15" s="43">
        <f>0</f>
        <v>0</v>
      </c>
      <c r="D15" s="43">
        <f>0</f>
        <v>0</v>
      </c>
      <c r="E15" s="43">
        <f>0</f>
        <v>0</v>
      </c>
      <c r="F15" s="42">
        <f>Calculations!B4*Input!B28/100*Input!B8</f>
        <v>214014.09456188724</v>
      </c>
      <c r="G15" s="42">
        <f>Calculations!B4*Input!B28/100*Input!B9</f>
        <v>259874.25768229167</v>
      </c>
      <c r="H15" s="42">
        <f>Calculations!B4*Input!B28/100*1</f>
        <v>305734.42080269608</v>
      </c>
      <c r="I15" s="42">
        <f>Calculations!B4*Input!B28/100*1</f>
        <v>305734.42080269608</v>
      </c>
      <c r="J15" s="42">
        <f>Calculations!B4*Input!B28/100*1</f>
        <v>305734.42080269608</v>
      </c>
      <c r="K15" s="42">
        <f>Calculations!B4*Input!B28/100*1</f>
        <v>305734.42080269608</v>
      </c>
      <c r="L15" s="42">
        <f>Calculations!B4*Input!B28/100*1</f>
        <v>305734.42080269608</v>
      </c>
      <c r="M15" s="42">
        <f>Calculations!B4*Input!B28/100*1</f>
        <v>305734.42080269608</v>
      </c>
      <c r="N15" s="42">
        <f>Calculations!B4*Input!B28/100*1</f>
        <v>305734.42080269608</v>
      </c>
      <c r="O15" s="42">
        <f>Calculations!B4*Input!B28/100*1</f>
        <v>305734.42080269608</v>
      </c>
    </row>
    <row r="16" spans="1:15" x14ac:dyDescent="0.3">
      <c r="A16" s="39" t="s">
        <v>84</v>
      </c>
      <c r="B16" s="40" t="s">
        <v>8</v>
      </c>
      <c r="C16" s="43">
        <f>0</f>
        <v>0</v>
      </c>
      <c r="D16" s="43">
        <f>0</f>
        <v>0</v>
      </c>
      <c r="E16" s="43">
        <f>0</f>
        <v>0</v>
      </c>
      <c r="F16" s="42">
        <f>Input!B29</f>
        <v>2000000</v>
      </c>
      <c r="G16" s="42">
        <f>Input!B29</f>
        <v>2000000</v>
      </c>
      <c r="H16" s="42">
        <f>Input!B29</f>
        <v>2000000</v>
      </c>
      <c r="I16" s="42">
        <f>Input!B29</f>
        <v>2000000</v>
      </c>
      <c r="J16" s="42">
        <f>Input!B29</f>
        <v>2000000</v>
      </c>
      <c r="K16" s="42">
        <f>Input!B29</f>
        <v>2000000</v>
      </c>
      <c r="L16" s="42">
        <f>Input!B29</f>
        <v>2000000</v>
      </c>
      <c r="M16" s="42">
        <f>Input!B29</f>
        <v>2000000</v>
      </c>
      <c r="N16" s="42">
        <f>Input!B29</f>
        <v>2000000</v>
      </c>
      <c r="O16" s="42">
        <f>Input!B29</f>
        <v>2000000</v>
      </c>
    </row>
    <row r="17" spans="1:15" x14ac:dyDescent="0.3">
      <c r="A17" s="39" t="s">
        <v>85</v>
      </c>
      <c r="B17" s="40" t="s">
        <v>8</v>
      </c>
      <c r="C17" s="43">
        <f>0</f>
        <v>0</v>
      </c>
      <c r="D17" s="43">
        <f>0</f>
        <v>0</v>
      </c>
      <c r="E17" s="43">
        <f>0</f>
        <v>0</v>
      </c>
      <c r="F17" s="42">
        <f>Input!B30</f>
        <v>500000</v>
      </c>
      <c r="G17" s="42">
        <f>Input!B30</f>
        <v>500000</v>
      </c>
      <c r="H17" s="42">
        <f>Input!B30</f>
        <v>500000</v>
      </c>
      <c r="I17" s="42">
        <f>Input!B30</f>
        <v>500000</v>
      </c>
      <c r="J17" s="42">
        <f>Input!B30</f>
        <v>500000</v>
      </c>
      <c r="K17" s="42">
        <f>Input!B30</f>
        <v>500000</v>
      </c>
      <c r="L17" s="42">
        <f>Input!B30</f>
        <v>500000</v>
      </c>
      <c r="M17" s="42">
        <f>Input!B30</f>
        <v>500000</v>
      </c>
      <c r="N17" s="42">
        <f>Input!B30</f>
        <v>500000</v>
      </c>
      <c r="O17" s="42">
        <f>Input!B30</f>
        <v>500000</v>
      </c>
    </row>
    <row r="18" spans="1:15" x14ac:dyDescent="0.3">
      <c r="A18" s="39" t="s">
        <v>110</v>
      </c>
      <c r="B18" s="40" t="s">
        <v>8</v>
      </c>
      <c r="C18" s="43">
        <f t="shared" ref="C18:O18" si="1">SUM(C12:C17)</f>
        <v>0</v>
      </c>
      <c r="D18" s="43">
        <f t="shared" si="1"/>
        <v>0</v>
      </c>
      <c r="E18" s="43">
        <f t="shared" si="1"/>
        <v>0</v>
      </c>
      <c r="F18" s="42">
        <f t="shared" si="1"/>
        <v>18239821.178247549</v>
      </c>
      <c r="G18" s="42">
        <f t="shared" si="1"/>
        <v>20541211.430729162</v>
      </c>
      <c r="H18" s="42">
        <f t="shared" si="1"/>
        <v>22842601.683210783</v>
      </c>
      <c r="I18" s="42">
        <f t="shared" si="1"/>
        <v>22842601.683210783</v>
      </c>
      <c r="J18" s="42">
        <f t="shared" si="1"/>
        <v>22842601.683210783</v>
      </c>
      <c r="K18" s="42">
        <f t="shared" si="1"/>
        <v>22842601.683210783</v>
      </c>
      <c r="L18" s="42">
        <f t="shared" si="1"/>
        <v>22842601.683210783</v>
      </c>
      <c r="M18" s="42">
        <f t="shared" si="1"/>
        <v>22842601.683210783</v>
      </c>
      <c r="N18" s="42">
        <f t="shared" si="1"/>
        <v>22842601.683210783</v>
      </c>
      <c r="O18" s="42">
        <f t="shared" si="1"/>
        <v>22842601.683210783</v>
      </c>
    </row>
    <row r="19" spans="1:15" ht="15.6" x14ac:dyDescent="0.3">
      <c r="A19" s="92" t="s">
        <v>48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</row>
    <row r="20" spans="1:15" x14ac:dyDescent="0.3">
      <c r="A20" s="39" t="s">
        <v>111</v>
      </c>
      <c r="B20" s="40" t="s">
        <v>8</v>
      </c>
      <c r="C20" s="43">
        <f>0</f>
        <v>0</v>
      </c>
      <c r="D20" s="43">
        <f>0</f>
        <v>0</v>
      </c>
      <c r="E20" s="43">
        <f>0</f>
        <v>0</v>
      </c>
      <c r="F20" s="42">
        <f>Calculations!B8</f>
        <v>2751609.7872242648</v>
      </c>
      <c r="G20" s="42">
        <f>Calculations!B8</f>
        <v>2751609.7872242648</v>
      </c>
      <c r="H20" s="42">
        <f>Calculations!B8</f>
        <v>2751609.7872242648</v>
      </c>
      <c r="I20" s="42">
        <f>Calculations!B8</f>
        <v>2751609.7872242648</v>
      </c>
      <c r="J20" s="42">
        <f>Calculations!B8</f>
        <v>2751609.7872242648</v>
      </c>
      <c r="K20" s="42">
        <f>Calculations!B8</f>
        <v>2751609.7872242648</v>
      </c>
      <c r="L20" s="42">
        <f>Calculations!B8</f>
        <v>2751609.7872242648</v>
      </c>
      <c r="M20" s="42">
        <f>Calculations!B8</f>
        <v>2751609.7872242648</v>
      </c>
      <c r="N20" s="42">
        <f>Calculations!B8</f>
        <v>2751609.7872242648</v>
      </c>
      <c r="O20" s="42">
        <f>Calculations!B8</f>
        <v>2751609.7872242648</v>
      </c>
    </row>
    <row r="21" spans="1:15" x14ac:dyDescent="0.3">
      <c r="A21" s="39" t="s">
        <v>112</v>
      </c>
      <c r="B21" s="40" t="s">
        <v>8</v>
      </c>
      <c r="C21" s="43">
        <f>0</f>
        <v>0</v>
      </c>
      <c r="D21" s="43">
        <f>0</f>
        <v>0</v>
      </c>
      <c r="E21" s="43">
        <f>0</f>
        <v>0</v>
      </c>
      <c r="F21" s="42">
        <f t="shared" ref="F21:O21" si="2">F10-F18-F20</f>
        <v>21008569.034528188</v>
      </c>
      <c r="G21" s="42">
        <f t="shared" si="2"/>
        <v>28727178.782046571</v>
      </c>
      <c r="H21" s="42">
        <f t="shared" si="2"/>
        <v>36829788.529564962</v>
      </c>
      <c r="I21" s="42">
        <f t="shared" si="2"/>
        <v>38078268.529564947</v>
      </c>
      <c r="J21" s="42">
        <f t="shared" si="2"/>
        <v>39351718.129564956</v>
      </c>
      <c r="K21" s="42">
        <f t="shared" si="2"/>
        <v>40650636.721564956</v>
      </c>
      <c r="L21" s="42">
        <f t="shared" si="2"/>
        <v>41975533.685404964</v>
      </c>
      <c r="M21" s="42">
        <f t="shared" si="2"/>
        <v>43326928.588521741</v>
      </c>
      <c r="N21" s="42">
        <f t="shared" si="2"/>
        <v>44705351.389700882</v>
      </c>
      <c r="O21" s="42">
        <f t="shared" si="2"/>
        <v>46111342.646903612</v>
      </c>
    </row>
    <row r="22" spans="1:15" x14ac:dyDescent="0.3">
      <c r="A22" s="39" t="s">
        <v>113</v>
      </c>
      <c r="B22" s="40" t="s">
        <v>8</v>
      </c>
      <c r="C22" s="43">
        <f>0</f>
        <v>0</v>
      </c>
      <c r="D22" s="43">
        <f>0</f>
        <v>0</v>
      </c>
      <c r="E22" s="43">
        <f>0</f>
        <v>0</v>
      </c>
      <c r="F22" s="42">
        <f>MAX(0,F21)*Input!B38/100</f>
        <v>6302570.7103584567</v>
      </c>
      <c r="G22" s="42">
        <f>MAX(0,G21)*Input!B38/100</f>
        <v>8618153.6346139722</v>
      </c>
      <c r="H22" s="42">
        <f>MAX(0,H21)*Input!B38/100</f>
        <v>11048936.558869489</v>
      </c>
      <c r="I22" s="42">
        <f>MAX(0,I21)*Input!B38/100</f>
        <v>11423480.558869483</v>
      </c>
      <c r="J22" s="42">
        <f>MAX(0,J21)*Input!B38/100</f>
        <v>11805515.438869486</v>
      </c>
      <c r="K22" s="42">
        <f>MAX(0,K21)*Input!B38/100</f>
        <v>12195191.016469486</v>
      </c>
      <c r="L22" s="42">
        <f>MAX(0,L21)*Input!B38/100</f>
        <v>12592660.105621489</v>
      </c>
      <c r="M22" s="42">
        <f>MAX(0,M21)*Input!B38/100</f>
        <v>12998078.576556522</v>
      </c>
      <c r="N22" s="42">
        <f>MAX(0,N21)*Input!B38/100</f>
        <v>13411605.416910265</v>
      </c>
      <c r="O22" s="42">
        <f>MAX(0,O21)*Input!B38/100</f>
        <v>13833402.794071084</v>
      </c>
    </row>
    <row r="23" spans="1:15" x14ac:dyDescent="0.3">
      <c r="A23" s="39" t="s">
        <v>114</v>
      </c>
      <c r="B23" s="40" t="s">
        <v>8</v>
      </c>
      <c r="C23" s="43">
        <f>0</f>
        <v>0</v>
      </c>
      <c r="D23" s="43">
        <f>0</f>
        <v>0</v>
      </c>
      <c r="E23" s="43">
        <f>0</f>
        <v>0</v>
      </c>
      <c r="F23" s="42">
        <f t="shared" ref="F23:O23" si="3">F21-F22</f>
        <v>14705998.324169733</v>
      </c>
      <c r="G23" s="42">
        <f t="shared" si="3"/>
        <v>20109025.147432599</v>
      </c>
      <c r="H23" s="42">
        <f t="shared" si="3"/>
        <v>25780851.970695473</v>
      </c>
      <c r="I23" s="42">
        <f t="shared" si="3"/>
        <v>26654787.970695466</v>
      </c>
      <c r="J23" s="42">
        <f t="shared" si="3"/>
        <v>27546202.690695472</v>
      </c>
      <c r="K23" s="42">
        <f t="shared" si="3"/>
        <v>28455445.70509547</v>
      </c>
      <c r="L23" s="42">
        <f t="shared" si="3"/>
        <v>29382873.579783477</v>
      </c>
      <c r="M23" s="42">
        <f t="shared" si="3"/>
        <v>30328850.011965219</v>
      </c>
      <c r="N23" s="42">
        <f t="shared" si="3"/>
        <v>31293745.972790617</v>
      </c>
      <c r="O23" s="42">
        <f t="shared" si="3"/>
        <v>32277939.852832526</v>
      </c>
    </row>
    <row r="24" spans="1:15" x14ac:dyDescent="0.3">
      <c r="A24" s="39" t="s">
        <v>115</v>
      </c>
      <c r="B24" s="40" t="s">
        <v>8</v>
      </c>
      <c r="C24" s="43">
        <f>0</f>
        <v>0</v>
      </c>
      <c r="D24" s="43">
        <f>0</f>
        <v>0</v>
      </c>
      <c r="E24" s="43">
        <f>0</f>
        <v>0</v>
      </c>
      <c r="F24" s="43">
        <f>0</f>
        <v>0</v>
      </c>
      <c r="G24" s="43">
        <f>0</f>
        <v>0</v>
      </c>
      <c r="H24" s="43">
        <f>0</f>
        <v>0</v>
      </c>
      <c r="I24" s="43">
        <f>0</f>
        <v>0</v>
      </c>
      <c r="J24" s="43">
        <f>0</f>
        <v>0</v>
      </c>
      <c r="K24" s="43">
        <f>0</f>
        <v>0</v>
      </c>
      <c r="L24" s="43">
        <f>0</f>
        <v>0</v>
      </c>
      <c r="M24" s="43">
        <f>0</f>
        <v>0</v>
      </c>
      <c r="N24" s="43">
        <f>0</f>
        <v>0</v>
      </c>
      <c r="O24" s="42">
        <f>Calculations!B6</f>
        <v>3257344.208026961</v>
      </c>
    </row>
    <row r="25" spans="1:15" x14ac:dyDescent="0.3">
      <c r="A25" s="39" t="s">
        <v>116</v>
      </c>
      <c r="B25" s="40" t="s">
        <v>8</v>
      </c>
      <c r="C25" s="42">
        <f>C4+C5+C6</f>
        <v>-15486721.040134804</v>
      </c>
      <c r="D25" s="42">
        <f>D4+D5+D6</f>
        <v>-15286721.040134804</v>
      </c>
      <c r="E25" s="42">
        <f>E4+E5+E6</f>
        <v>-7643360.5200674022</v>
      </c>
      <c r="F25" s="42">
        <f t="shared" ref="F25:O25" si="4">F23+F20+F24+F6+F4</f>
        <v>17457608.111393996</v>
      </c>
      <c r="G25" s="42">
        <f t="shared" si="4"/>
        <v>22860634.934656866</v>
      </c>
      <c r="H25" s="42">
        <f t="shared" si="4"/>
        <v>28532461.757919736</v>
      </c>
      <c r="I25" s="42">
        <f t="shared" si="4"/>
        <v>29406397.757919729</v>
      </c>
      <c r="J25" s="42">
        <f t="shared" si="4"/>
        <v>30297812.477919735</v>
      </c>
      <c r="K25" s="42">
        <f t="shared" si="4"/>
        <v>31207055.492319733</v>
      </c>
      <c r="L25" s="42">
        <f t="shared" si="4"/>
        <v>32134483.36700774</v>
      </c>
      <c r="M25" s="42">
        <f t="shared" si="4"/>
        <v>33080459.799189486</v>
      </c>
      <c r="N25" s="42">
        <f t="shared" si="4"/>
        <v>34045355.760014884</v>
      </c>
      <c r="O25" s="42">
        <f t="shared" si="4"/>
        <v>46130254.368151151</v>
      </c>
    </row>
    <row r="26" spans="1:15" s="26" customFormat="1" x14ac:dyDescent="0.3">
      <c r="A26" s="46" t="s">
        <v>131</v>
      </c>
      <c r="B26" s="45" t="s">
        <v>90</v>
      </c>
      <c r="C26" s="45">
        <f>C25/10^6</f>
        <v>-15.486721040134805</v>
      </c>
      <c r="D26" s="45">
        <f t="shared" ref="D26:O26" si="5">D25/10^6</f>
        <v>-15.286721040134804</v>
      </c>
      <c r="E26" s="45">
        <f t="shared" si="5"/>
        <v>-7.643360520067402</v>
      </c>
      <c r="F26" s="45">
        <f t="shared" si="5"/>
        <v>17.457608111393995</v>
      </c>
      <c r="G26" s="45">
        <f t="shared" si="5"/>
        <v>22.860634934656865</v>
      </c>
      <c r="H26" s="45">
        <f t="shared" si="5"/>
        <v>28.532461757919737</v>
      </c>
      <c r="I26" s="45">
        <f t="shared" si="5"/>
        <v>29.406397757919727</v>
      </c>
      <c r="J26" s="45">
        <f t="shared" si="5"/>
        <v>30.297812477919734</v>
      </c>
      <c r="K26" s="45">
        <f t="shared" si="5"/>
        <v>31.207055492319732</v>
      </c>
      <c r="L26" s="45">
        <f t="shared" si="5"/>
        <v>32.134483367007739</v>
      </c>
      <c r="M26" s="45">
        <f t="shared" si="5"/>
        <v>33.080459799189484</v>
      </c>
      <c r="N26" s="45">
        <f t="shared" si="5"/>
        <v>34.045355760014886</v>
      </c>
      <c r="O26" s="45">
        <f t="shared" si="5"/>
        <v>46.130254368151149</v>
      </c>
    </row>
    <row r="27" spans="1:15" x14ac:dyDescent="0.3">
      <c r="A27" s="41" t="s">
        <v>49</v>
      </c>
      <c r="B27" s="44"/>
      <c r="C27" s="42">
        <f>1/(1+Input!B37/100)^0</f>
        <v>1</v>
      </c>
      <c r="D27" s="42">
        <f>1/(1+Input!B37/100)^1</f>
        <v>0.86956521739130443</v>
      </c>
      <c r="E27" s="42">
        <f>1/(1+Input!B37/100)^2</f>
        <v>0.7561436672967865</v>
      </c>
      <c r="F27" s="42">
        <f>1/(1+Input!B37/100)^3</f>
        <v>0.65751623243198831</v>
      </c>
      <c r="G27" s="42">
        <f>1/(1+Input!B37/100)^4</f>
        <v>0.57175324559303342</v>
      </c>
      <c r="H27" s="42">
        <f>1/(1+Input!B37/100)^5</f>
        <v>0.49717673529828987</v>
      </c>
      <c r="I27" s="42">
        <f>1/(1+Input!B37/100)^6</f>
        <v>0.43232759591155645</v>
      </c>
      <c r="J27" s="42">
        <f>1/(1+Input!B37/100)^7</f>
        <v>0.37593703992309269</v>
      </c>
      <c r="K27" s="42">
        <f>1/(1+Input!B37/100)^8</f>
        <v>0.32690177384616753</v>
      </c>
      <c r="L27" s="42">
        <f>1/(1+Input!B37/100)^9</f>
        <v>0.28426241204014574</v>
      </c>
      <c r="M27" s="42">
        <f>1/(1+Input!B37/100)^10</f>
        <v>0.24718470612186585</v>
      </c>
      <c r="N27" s="42">
        <f>1/(1+Input!B37/100)^11</f>
        <v>0.21494322271466598</v>
      </c>
      <c r="O27" s="42">
        <f>1/(1+Input!B37/100)^12</f>
        <v>0.18690715018666609</v>
      </c>
    </row>
    <row r="28" spans="1:15" x14ac:dyDescent="0.3">
      <c r="A28" s="39" t="s">
        <v>117</v>
      </c>
      <c r="B28" s="40" t="s">
        <v>8</v>
      </c>
      <c r="C28" s="42">
        <f t="shared" ref="C28:O28" si="6">C25*C27</f>
        <v>-15486721.040134804</v>
      </c>
      <c r="D28" s="42">
        <f>D25*D27</f>
        <v>-13292800.904465048</v>
      </c>
      <c r="E28" s="42">
        <f t="shared" si="6"/>
        <v>-5779478.6541152392</v>
      </c>
      <c r="F28" s="42">
        <f t="shared" si="6"/>
        <v>11478660.7126779</v>
      </c>
      <c r="G28" s="42">
        <f t="shared" si="6"/>
        <v>13070642.220207546</v>
      </c>
      <c r="H28" s="42">
        <f t="shared" si="6"/>
        <v>14185676.18682584</v>
      </c>
      <c r="I28" s="42">
        <f t="shared" si="6"/>
        <v>12713197.24710042</v>
      </c>
      <c r="J28" s="42">
        <f t="shared" si="6"/>
        <v>11390069.939094087</v>
      </c>
      <c r="K28" s="42">
        <f t="shared" si="6"/>
        <v>10201641.796955105</v>
      </c>
      <c r="L28" s="42">
        <f t="shared" si="6"/>
        <v>9134625.7515695635</v>
      </c>
      <c r="M28" s="42">
        <f t="shared" si="6"/>
        <v>8176983.7338388506</v>
      </c>
      <c r="N28" s="42">
        <f t="shared" si="6"/>
        <v>7317818.4855249152</v>
      </c>
      <c r="O28" s="42">
        <f t="shared" si="6"/>
        <v>8622074.381337136</v>
      </c>
    </row>
    <row r="29" spans="1:15" s="26" customFormat="1" x14ac:dyDescent="0.3">
      <c r="A29" s="46" t="s">
        <v>117</v>
      </c>
      <c r="B29" s="45" t="s">
        <v>90</v>
      </c>
      <c r="C29" s="45">
        <f>C28/10^6</f>
        <v>-15.486721040134805</v>
      </c>
      <c r="D29" s="45">
        <f t="shared" ref="D29:O29" si="7">D28/10^6</f>
        <v>-13.292800904465048</v>
      </c>
      <c r="E29" s="45">
        <f t="shared" si="7"/>
        <v>-5.7794786541152394</v>
      </c>
      <c r="F29" s="45">
        <f t="shared" si="7"/>
        <v>11.4786607126779</v>
      </c>
      <c r="G29" s="45">
        <f t="shared" si="7"/>
        <v>13.070642220207546</v>
      </c>
      <c r="H29" s="45">
        <f t="shared" si="7"/>
        <v>14.185676186825839</v>
      </c>
      <c r="I29" s="45">
        <f t="shared" si="7"/>
        <v>12.713197247100421</v>
      </c>
      <c r="J29" s="45">
        <f t="shared" si="7"/>
        <v>11.390069939094086</v>
      </c>
      <c r="K29" s="45">
        <f t="shared" si="7"/>
        <v>10.201641796955105</v>
      </c>
      <c r="L29" s="45">
        <f t="shared" si="7"/>
        <v>9.1346257515695637</v>
      </c>
      <c r="M29" s="45">
        <f t="shared" si="7"/>
        <v>8.1769837338388509</v>
      </c>
      <c r="N29" s="45">
        <f t="shared" si="7"/>
        <v>7.3178184855249153</v>
      </c>
      <c r="O29" s="45">
        <f t="shared" si="7"/>
        <v>8.6220743813371357</v>
      </c>
    </row>
    <row r="30" spans="1:15" x14ac:dyDescent="0.3">
      <c r="A30" s="39" t="s">
        <v>118</v>
      </c>
      <c r="B30" s="40" t="s">
        <v>8</v>
      </c>
      <c r="C30" s="42">
        <f>C28</f>
        <v>-15486721.040134804</v>
      </c>
      <c r="D30" s="42">
        <f t="shared" ref="D30:O30" si="8">C30+D28</f>
        <v>-28779521.944599852</v>
      </c>
      <c r="E30" s="42">
        <f t="shared" si="8"/>
        <v>-34559000.598715089</v>
      </c>
      <c r="F30" s="42">
        <f t="shared" si="8"/>
        <v>-23080339.88603719</v>
      </c>
      <c r="G30" s="42">
        <f t="shared" si="8"/>
        <v>-10009697.665829644</v>
      </c>
      <c r="H30" s="42">
        <f t="shared" si="8"/>
        <v>4175978.5209961962</v>
      </c>
      <c r="I30" s="42">
        <f t="shared" si="8"/>
        <v>16889175.768096618</v>
      </c>
      <c r="J30" s="42">
        <f t="shared" si="8"/>
        <v>28279245.707190707</v>
      </c>
      <c r="K30" s="42">
        <f t="shared" si="8"/>
        <v>38480887.504145816</v>
      </c>
      <c r="L30" s="42">
        <f t="shared" si="8"/>
        <v>47615513.255715378</v>
      </c>
      <c r="M30" s="42">
        <f t="shared" si="8"/>
        <v>55792496.989554226</v>
      </c>
      <c r="N30" s="42">
        <f t="shared" si="8"/>
        <v>63110315.475079142</v>
      </c>
      <c r="O30" s="42">
        <f t="shared" si="8"/>
        <v>71732389.856416285</v>
      </c>
    </row>
    <row r="32" spans="1:15" x14ac:dyDescent="0.3">
      <c r="A32" s="84" t="s">
        <v>119</v>
      </c>
      <c r="B32" s="85"/>
      <c r="C32" s="67">
        <f>O30/10^6</f>
        <v>71.73238985641629</v>
      </c>
      <c r="D32" s="71" t="s">
        <v>90</v>
      </c>
    </row>
    <row r="33" spans="1:4" x14ac:dyDescent="0.3">
      <c r="A33" s="84" t="s">
        <v>50</v>
      </c>
      <c r="B33" s="85"/>
      <c r="C33" s="68">
        <f>IRR(C25:O25,0.15)</f>
        <v>0.40511667053042344</v>
      </c>
      <c r="D33" s="72"/>
    </row>
    <row r="34" spans="1:4" x14ac:dyDescent="0.3">
      <c r="A34" s="84" t="s">
        <v>51</v>
      </c>
      <c r="B34" s="85"/>
      <c r="C34" s="69" cm="1">
        <f t="array" ref="C34">IFERROR(MATCH(TRUE,C30:O30&gt;=0,0)-1,"Not recovered")</f>
        <v>5</v>
      </c>
      <c r="D34" s="71" t="s">
        <v>170</v>
      </c>
    </row>
    <row r="35" spans="1:4" x14ac:dyDescent="0.3">
      <c r="A35" s="84" t="s">
        <v>168</v>
      </c>
      <c r="B35" s="85"/>
      <c r="C35" s="70">
        <f>AVERAGE(C23:O23)/Calculations!B7</f>
        <v>0.53369219713374916</v>
      </c>
      <c r="D35" s="73"/>
    </row>
  </sheetData>
  <mergeCells count="9">
    <mergeCell ref="A35:B35"/>
    <mergeCell ref="A1:O1"/>
    <mergeCell ref="A33:B33"/>
    <mergeCell ref="A7:O7"/>
    <mergeCell ref="A32:B32"/>
    <mergeCell ref="A3:O3"/>
    <mergeCell ref="A11:O11"/>
    <mergeCell ref="A19:O19"/>
    <mergeCell ref="A34:B34"/>
  </mergeCells>
  <pageMargins left="0.75" right="0.75" top="1" bottom="1" header="0.5" footer="0.5"/>
  <ignoredErrors>
    <ignoredError sqref="D5 E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108B-2A98-4CA8-AA45-504A8129132E}">
  <dimension ref="A1:F27"/>
  <sheetViews>
    <sheetView showGridLines="0" workbookViewId="0">
      <selection activeCell="A3" sqref="A3"/>
    </sheetView>
  </sheetViews>
  <sheetFormatPr defaultRowHeight="14.4" x14ac:dyDescent="0.3"/>
  <cols>
    <col min="1" max="1" width="12.21875" bestFit="1" customWidth="1"/>
    <col min="2" max="2" width="20.21875" bestFit="1" customWidth="1"/>
    <col min="3" max="3" width="22.44140625" bestFit="1" customWidth="1"/>
    <col min="4" max="4" width="15.44140625" bestFit="1" customWidth="1"/>
    <col min="5" max="5" width="17.6640625" bestFit="1" customWidth="1"/>
    <col min="6" max="6" width="22.5546875" bestFit="1" customWidth="1"/>
  </cols>
  <sheetData>
    <row r="1" spans="1:6" ht="21" x14ac:dyDescent="0.4">
      <c r="A1" s="94" t="s">
        <v>161</v>
      </c>
      <c r="B1" s="94"/>
      <c r="C1" s="94"/>
      <c r="D1" s="94"/>
      <c r="E1" s="94"/>
      <c r="F1" s="94"/>
    </row>
    <row r="2" spans="1:6" ht="15.6" x14ac:dyDescent="0.3">
      <c r="A2" s="74" t="s">
        <v>132</v>
      </c>
      <c r="B2" s="74" t="s">
        <v>133</v>
      </c>
      <c r="C2" s="74" t="s">
        <v>134</v>
      </c>
      <c r="D2" s="74" t="s">
        <v>165</v>
      </c>
      <c r="E2" s="74" t="s">
        <v>166</v>
      </c>
      <c r="F2" s="74" t="s">
        <v>135</v>
      </c>
    </row>
    <row r="3" spans="1:6" x14ac:dyDescent="0.3">
      <c r="A3" s="55" t="s">
        <v>136</v>
      </c>
      <c r="B3" s="63">
        <v>213700</v>
      </c>
      <c r="C3" s="63">
        <v>390700</v>
      </c>
      <c r="D3" s="63">
        <v>7900</v>
      </c>
      <c r="E3" s="63">
        <v>26415</v>
      </c>
      <c r="F3" s="64">
        <v>1.1559999999999999</v>
      </c>
    </row>
    <row r="4" spans="1:6" x14ac:dyDescent="0.3">
      <c r="A4" s="55" t="s">
        <v>137</v>
      </c>
      <c r="B4" s="63">
        <v>57300</v>
      </c>
      <c r="C4" s="63">
        <v>333000</v>
      </c>
      <c r="D4" s="63">
        <v>9000</v>
      </c>
      <c r="E4" s="63">
        <v>31234</v>
      </c>
      <c r="F4" s="64">
        <v>30.489000000000001</v>
      </c>
    </row>
    <row r="5" spans="1:6" x14ac:dyDescent="0.3">
      <c r="A5" s="55" t="s">
        <v>138</v>
      </c>
      <c r="B5" s="63">
        <v>173300</v>
      </c>
      <c r="C5" s="63">
        <v>347500</v>
      </c>
      <c r="D5" s="63">
        <v>31000</v>
      </c>
      <c r="E5" s="63">
        <v>60260</v>
      </c>
      <c r="F5" s="64">
        <v>78.968000000000004</v>
      </c>
    </row>
    <row r="6" spans="1:6" x14ac:dyDescent="0.3">
      <c r="A6" s="55" t="s">
        <v>139</v>
      </c>
      <c r="B6" s="63">
        <v>57900</v>
      </c>
      <c r="C6" s="63">
        <v>190600</v>
      </c>
      <c r="D6" s="63">
        <v>13500</v>
      </c>
      <c r="E6" s="63">
        <v>26653</v>
      </c>
      <c r="F6" s="64">
        <v>0</v>
      </c>
    </row>
    <row r="7" spans="1:6" x14ac:dyDescent="0.3">
      <c r="A7" s="55" t="s">
        <v>140</v>
      </c>
      <c r="B7" s="63">
        <v>241300</v>
      </c>
      <c r="C7" s="63">
        <v>473000</v>
      </c>
      <c r="D7" s="63">
        <v>45000</v>
      </c>
      <c r="E7" s="63">
        <v>89761</v>
      </c>
      <c r="F7" s="64">
        <v>0</v>
      </c>
    </row>
    <row r="8" spans="1:6" x14ac:dyDescent="0.3">
      <c r="A8" s="55" t="s">
        <v>141</v>
      </c>
      <c r="B8" s="63">
        <v>585400</v>
      </c>
      <c r="C8" s="63">
        <v>880000</v>
      </c>
      <c r="D8" s="63">
        <v>94300</v>
      </c>
      <c r="E8" s="63">
        <v>129952</v>
      </c>
      <c r="F8" s="64">
        <v>0</v>
      </c>
    </row>
    <row r="9" spans="1:6" x14ac:dyDescent="0.3">
      <c r="A9" s="55" t="s">
        <v>142</v>
      </c>
      <c r="B9" s="63">
        <v>707500</v>
      </c>
      <c r="C9" s="63">
        <v>1025200</v>
      </c>
      <c r="D9" s="63">
        <v>130600</v>
      </c>
      <c r="E9" s="63">
        <v>170471</v>
      </c>
      <c r="F9" s="64">
        <v>0</v>
      </c>
    </row>
    <row r="10" spans="1:6" x14ac:dyDescent="0.3">
      <c r="A10" s="55" t="s">
        <v>143</v>
      </c>
      <c r="B10" s="63">
        <v>744300</v>
      </c>
      <c r="C10" s="63">
        <v>1019000</v>
      </c>
      <c r="D10" s="63">
        <v>167800</v>
      </c>
      <c r="E10" s="63">
        <v>192135</v>
      </c>
      <c r="F10" s="64">
        <v>0</v>
      </c>
    </row>
    <row r="11" spans="1:6" x14ac:dyDescent="0.3">
      <c r="A11" s="55" t="s">
        <v>144</v>
      </c>
      <c r="B11" s="63">
        <v>6523900</v>
      </c>
      <c r="C11" s="63">
        <v>7200900</v>
      </c>
      <c r="D11" s="63">
        <v>145500</v>
      </c>
      <c r="E11" s="63">
        <v>241390</v>
      </c>
      <c r="F11" s="64">
        <v>1444.7940000000001</v>
      </c>
    </row>
    <row r="12" spans="1:6" x14ac:dyDescent="0.3">
      <c r="A12" s="55" t="s">
        <v>145</v>
      </c>
      <c r="B12" s="63">
        <v>1148100</v>
      </c>
      <c r="C12" s="63">
        <v>1925600</v>
      </c>
      <c r="D12" s="63">
        <v>235700</v>
      </c>
      <c r="E12" s="63">
        <v>362699</v>
      </c>
      <c r="F12" s="64">
        <v>0</v>
      </c>
    </row>
    <row r="13" spans="1:6" x14ac:dyDescent="0.3">
      <c r="A13" s="55" t="s">
        <v>146</v>
      </c>
      <c r="B13" s="63">
        <v>230700</v>
      </c>
      <c r="C13" s="63">
        <v>478700</v>
      </c>
      <c r="D13" s="63">
        <v>67800</v>
      </c>
      <c r="E13" s="63">
        <v>98552</v>
      </c>
      <c r="F13" s="64">
        <v>0</v>
      </c>
    </row>
    <row r="14" spans="1:6" x14ac:dyDescent="0.3">
      <c r="A14" s="55" t="s">
        <v>147</v>
      </c>
      <c r="B14" s="63">
        <v>8000</v>
      </c>
      <c r="C14" s="63">
        <v>124300</v>
      </c>
      <c r="D14" s="63">
        <v>70</v>
      </c>
      <c r="E14" s="63">
        <v>5167</v>
      </c>
      <c r="F14" s="64">
        <v>0</v>
      </c>
    </row>
    <row r="15" spans="1:6" x14ac:dyDescent="0.3">
      <c r="A15" s="55" t="s">
        <v>148</v>
      </c>
      <c r="B15" s="63">
        <v>12200</v>
      </c>
      <c r="C15" s="63">
        <v>163100</v>
      </c>
      <c r="D15" s="63">
        <v>470</v>
      </c>
      <c r="E15" s="63">
        <v>9423</v>
      </c>
      <c r="F15" s="64">
        <v>0</v>
      </c>
    </row>
    <row r="16" spans="1:6" x14ac:dyDescent="0.3">
      <c r="A16" s="55" t="s">
        <v>149</v>
      </c>
      <c r="B16" s="63">
        <v>62000</v>
      </c>
      <c r="C16" s="63">
        <v>351100</v>
      </c>
      <c r="D16" s="63">
        <v>9600</v>
      </c>
      <c r="E16" s="63">
        <v>37821</v>
      </c>
      <c r="F16" s="64">
        <v>0</v>
      </c>
    </row>
    <row r="17" spans="1:6" x14ac:dyDescent="0.3">
      <c r="A17" s="55" t="s">
        <v>150</v>
      </c>
      <c r="B17" s="63">
        <v>142000</v>
      </c>
      <c r="C17" s="63">
        <v>428200</v>
      </c>
      <c r="D17" s="63">
        <v>13900</v>
      </c>
      <c r="E17" s="63">
        <v>34642</v>
      </c>
      <c r="F17" s="64">
        <v>0</v>
      </c>
    </row>
    <row r="18" spans="1:6" x14ac:dyDescent="0.3">
      <c r="A18" s="55" t="s">
        <v>151</v>
      </c>
      <c r="B18" s="63">
        <v>729300</v>
      </c>
      <c r="C18" s="63">
        <v>1153800</v>
      </c>
      <c r="D18" s="63">
        <v>143800</v>
      </c>
      <c r="E18" s="63">
        <v>182907</v>
      </c>
      <c r="F18" s="64">
        <v>0</v>
      </c>
    </row>
    <row r="19" spans="1:6" x14ac:dyDescent="0.3">
      <c r="A19" s="55" t="s">
        <v>152</v>
      </c>
      <c r="B19" s="63">
        <v>1266800</v>
      </c>
      <c r="C19" s="63">
        <v>1987900</v>
      </c>
      <c r="D19" s="63">
        <v>265900</v>
      </c>
      <c r="E19" s="63">
        <v>379399</v>
      </c>
      <c r="F19" s="64">
        <v>146.547</v>
      </c>
    </row>
    <row r="20" spans="1:6" x14ac:dyDescent="0.3">
      <c r="A20" s="55" t="s">
        <v>153</v>
      </c>
      <c r="B20" s="63">
        <v>56700</v>
      </c>
      <c r="C20" s="63">
        <v>280300</v>
      </c>
      <c r="D20" s="63">
        <v>12800</v>
      </c>
      <c r="E20" s="63">
        <v>29990</v>
      </c>
      <c r="F20" s="64">
        <v>0</v>
      </c>
    </row>
    <row r="21" spans="1:6" x14ac:dyDescent="0.3">
      <c r="A21" s="55" t="s">
        <v>154</v>
      </c>
      <c r="B21" s="63">
        <v>9600</v>
      </c>
      <c r="C21" s="63">
        <v>61400</v>
      </c>
      <c r="D21" s="63">
        <v>600</v>
      </c>
      <c r="E21" s="63">
        <v>5101</v>
      </c>
      <c r="F21" s="64">
        <v>0.86699999999999999</v>
      </c>
    </row>
    <row r="22" spans="1:6" x14ac:dyDescent="0.3">
      <c r="A22" s="55" t="s">
        <v>155</v>
      </c>
      <c r="B22" s="63">
        <v>51300</v>
      </c>
      <c r="C22" s="63">
        <v>209000</v>
      </c>
      <c r="D22" s="63">
        <v>10900</v>
      </c>
      <c r="E22" s="63">
        <v>27781</v>
      </c>
      <c r="F22" s="64">
        <v>0</v>
      </c>
    </row>
    <row r="23" spans="1:6" x14ac:dyDescent="0.3">
      <c r="A23" s="55" t="s">
        <v>156</v>
      </c>
      <c r="B23" s="63">
        <v>290100</v>
      </c>
      <c r="C23" s="63">
        <v>589200</v>
      </c>
      <c r="D23" s="63">
        <v>41100</v>
      </c>
      <c r="E23" s="63">
        <v>64187</v>
      </c>
      <c r="F23" s="64">
        <v>0</v>
      </c>
    </row>
    <row r="24" spans="1:6" x14ac:dyDescent="0.3">
      <c r="A24" s="55" t="s">
        <v>157</v>
      </c>
      <c r="B24" s="63">
        <v>527600</v>
      </c>
      <c r="C24" s="63">
        <v>1470000</v>
      </c>
      <c r="D24" s="63">
        <v>50000</v>
      </c>
      <c r="E24" s="63">
        <v>119666</v>
      </c>
      <c r="F24" s="64">
        <v>0</v>
      </c>
    </row>
    <row r="25" spans="1:6" x14ac:dyDescent="0.3">
      <c r="A25" s="55" t="s">
        <v>158</v>
      </c>
      <c r="B25" s="63">
        <v>2131700</v>
      </c>
      <c r="C25" s="63">
        <v>2631600</v>
      </c>
      <c r="D25" s="63">
        <v>508800</v>
      </c>
      <c r="E25" s="63">
        <v>595320</v>
      </c>
      <c r="F25" s="64">
        <v>0</v>
      </c>
    </row>
    <row r="26" spans="1:6" x14ac:dyDescent="0.3">
      <c r="A26" s="55" t="s">
        <v>159</v>
      </c>
      <c r="B26" s="63">
        <v>403800</v>
      </c>
      <c r="C26" s="63">
        <v>732900</v>
      </c>
      <c r="D26" s="63">
        <v>108900</v>
      </c>
      <c r="E26" s="63">
        <v>145331</v>
      </c>
      <c r="F26" s="64">
        <v>0</v>
      </c>
    </row>
    <row r="27" spans="1:6" s="65" customFormat="1" x14ac:dyDescent="0.3">
      <c r="A27" s="56" t="s">
        <v>160</v>
      </c>
      <c r="B27" s="62">
        <f>SUM(B3:B26)</f>
        <v>16374500</v>
      </c>
      <c r="C27" s="62">
        <f t="shared" ref="C27:F27" si="0">SUM(C3:C26)</f>
        <v>24447000</v>
      </c>
      <c r="D27" s="62"/>
      <c r="E27" s="62"/>
      <c r="F27" s="62">
        <f t="shared" si="0"/>
        <v>1702.8210000000001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showGridLines="0" tabSelected="1" workbookViewId="0">
      <selection activeCell="B16" sqref="B16"/>
    </sheetView>
  </sheetViews>
  <sheetFormatPr defaultRowHeight="14.4" x14ac:dyDescent="0.3"/>
  <cols>
    <col min="1" max="1" width="40.44140625" customWidth="1"/>
    <col min="2" max="2" width="28.44140625" customWidth="1"/>
    <col min="3" max="3" width="20.21875" customWidth="1"/>
  </cols>
  <sheetData>
    <row r="1" spans="1:3" ht="21" x14ac:dyDescent="0.3">
      <c r="A1" s="97" t="s">
        <v>89</v>
      </c>
      <c r="B1" s="98"/>
      <c r="C1" s="99"/>
    </row>
    <row r="2" spans="1:3" x14ac:dyDescent="0.3">
      <c r="A2" s="52" t="s">
        <v>52</v>
      </c>
      <c r="B2" s="17" t="s">
        <v>1</v>
      </c>
      <c r="C2" s="53" t="s">
        <v>2</v>
      </c>
    </row>
    <row r="3" spans="1:3" ht="16.2" thickBot="1" x14ac:dyDescent="0.35">
      <c r="A3" s="95" t="s">
        <v>53</v>
      </c>
      <c r="B3" s="100"/>
      <c r="C3" s="101"/>
    </row>
    <row r="4" spans="1:3" x14ac:dyDescent="0.3">
      <c r="A4" s="47" t="s">
        <v>54</v>
      </c>
      <c r="B4" s="7">
        <f>Calculations!B11</f>
        <v>120000</v>
      </c>
      <c r="C4" s="48" t="s">
        <v>26</v>
      </c>
    </row>
    <row r="5" spans="1:3" x14ac:dyDescent="0.3">
      <c r="A5" s="47" t="s">
        <v>55</v>
      </c>
      <c r="B5" s="8">
        <f>Input!B4</f>
        <v>15000</v>
      </c>
      <c r="C5" s="48" t="s">
        <v>4</v>
      </c>
    </row>
    <row r="6" spans="1:3" x14ac:dyDescent="0.3">
      <c r="A6" s="47" t="s">
        <v>56</v>
      </c>
      <c r="B6" s="9">
        <f>Input!B5</f>
        <v>8000</v>
      </c>
      <c r="C6" s="48" t="s">
        <v>6</v>
      </c>
    </row>
    <row r="7" spans="1:3" ht="15.6" x14ac:dyDescent="0.3">
      <c r="A7" s="95" t="s">
        <v>20</v>
      </c>
      <c r="B7" s="91"/>
      <c r="C7" s="96"/>
    </row>
    <row r="8" spans="1:3" x14ac:dyDescent="0.3">
      <c r="A8" s="47" t="s">
        <v>57</v>
      </c>
      <c r="B8" s="9">
        <f>Input!B14</f>
        <v>24458753.664215688</v>
      </c>
      <c r="C8" s="48" t="s">
        <v>8</v>
      </c>
    </row>
    <row r="9" spans="1:3" x14ac:dyDescent="0.3">
      <c r="A9" s="47" t="s">
        <v>21</v>
      </c>
      <c r="B9" s="9">
        <f>Calculations!B4</f>
        <v>30573442.080269609</v>
      </c>
      <c r="C9" s="48" t="s">
        <v>8</v>
      </c>
    </row>
    <row r="10" spans="1:3" x14ac:dyDescent="0.3">
      <c r="A10" s="47" t="s">
        <v>58</v>
      </c>
      <c r="B10" s="9">
        <f>Calculations!B5</f>
        <v>7643360.5200674022</v>
      </c>
      <c r="C10" s="48" t="s">
        <v>8</v>
      </c>
    </row>
    <row r="11" spans="1:3" x14ac:dyDescent="0.3">
      <c r="A11" s="47" t="s">
        <v>59</v>
      </c>
      <c r="B11" s="9">
        <f>Input!B17</f>
        <v>200000</v>
      </c>
      <c r="C11" s="48" t="s">
        <v>8</v>
      </c>
    </row>
    <row r="12" spans="1:3" x14ac:dyDescent="0.3">
      <c r="A12" s="47" t="s">
        <v>60</v>
      </c>
      <c r="B12" s="9">
        <f>Calculations!B7</f>
        <v>38416802.600337014</v>
      </c>
      <c r="C12" s="48" t="s">
        <v>8</v>
      </c>
    </row>
    <row r="13" spans="1:3" x14ac:dyDescent="0.3">
      <c r="A13" s="47" t="s">
        <v>61</v>
      </c>
      <c r="B13" s="8">
        <f>IF(Calculations!B11&gt;0,Calculations!B7/Calculations!B11,0)</f>
        <v>320.14002166947512</v>
      </c>
      <c r="C13" s="48" t="s">
        <v>62</v>
      </c>
    </row>
    <row r="14" spans="1:3" x14ac:dyDescent="0.3">
      <c r="A14" s="47" t="s">
        <v>63</v>
      </c>
      <c r="B14" s="9">
        <f>Calculations!B6</f>
        <v>3257344.208026961</v>
      </c>
      <c r="C14" s="48" t="s">
        <v>8</v>
      </c>
    </row>
    <row r="15" spans="1:3" ht="15.6" x14ac:dyDescent="0.3">
      <c r="A15" s="95" t="s">
        <v>27</v>
      </c>
      <c r="B15" s="91"/>
      <c r="C15" s="96"/>
    </row>
    <row r="16" spans="1:3" x14ac:dyDescent="0.3">
      <c r="A16" s="47" t="s">
        <v>28</v>
      </c>
      <c r="B16" s="9">
        <f>Calculations!B18</f>
        <v>22842601.683210783</v>
      </c>
      <c r="C16" s="48" t="s">
        <v>16</v>
      </c>
    </row>
    <row r="17" spans="1:3" x14ac:dyDescent="0.3">
      <c r="A17" s="47" t="s">
        <v>29</v>
      </c>
      <c r="B17" s="8">
        <f>Calculations!B19</f>
        <v>190.35501402675652</v>
      </c>
      <c r="C17" s="48" t="s">
        <v>18</v>
      </c>
    </row>
    <row r="18" spans="1:3" x14ac:dyDescent="0.3">
      <c r="A18" s="47" t="s">
        <v>64</v>
      </c>
      <c r="B18" s="9">
        <f>Calculations!B15</f>
        <v>14119663.999999998</v>
      </c>
      <c r="C18" s="48" t="s">
        <v>16</v>
      </c>
    </row>
    <row r="19" spans="1:3" ht="15.6" x14ac:dyDescent="0.3">
      <c r="A19" s="95" t="s">
        <v>45</v>
      </c>
      <c r="B19" s="91"/>
      <c r="C19" s="96"/>
    </row>
    <row r="20" spans="1:3" x14ac:dyDescent="0.3">
      <c r="A20" s="47" t="s">
        <v>65</v>
      </c>
      <c r="B20" s="8">
        <f>Input!B34</f>
        <v>500</v>
      </c>
      <c r="C20" s="48" t="s">
        <v>18</v>
      </c>
    </row>
    <row r="21" spans="1:3" x14ac:dyDescent="0.3">
      <c r="A21" s="47" t="s">
        <v>66</v>
      </c>
      <c r="B21" s="9">
        <f>Calculations!B12</f>
        <v>60000000</v>
      </c>
      <c r="C21" s="48" t="s">
        <v>16</v>
      </c>
    </row>
    <row r="22" spans="1:3" x14ac:dyDescent="0.3">
      <c r="A22" s="47" t="s">
        <v>67</v>
      </c>
      <c r="B22" s="10">
        <f>Calculations!B26</f>
        <v>61.928997194648694</v>
      </c>
      <c r="C22" s="48" t="s">
        <v>10</v>
      </c>
    </row>
    <row r="23" spans="1:3" ht="15.6" x14ac:dyDescent="0.3">
      <c r="A23" s="95" t="s">
        <v>68</v>
      </c>
      <c r="B23" s="91"/>
      <c r="C23" s="96"/>
    </row>
    <row r="24" spans="1:3" x14ac:dyDescent="0.3">
      <c r="A24" s="47" t="s">
        <v>69</v>
      </c>
      <c r="B24" s="9">
        <f>Calculations!B24</f>
        <v>24084051.970695466</v>
      </c>
      <c r="C24" s="48" t="s">
        <v>16</v>
      </c>
    </row>
    <row r="25" spans="1:3" x14ac:dyDescent="0.3">
      <c r="A25" s="47" t="s">
        <v>50</v>
      </c>
      <c r="B25" s="11">
        <f>'Cash Flow Model'!C33</f>
        <v>0.40511667053042344</v>
      </c>
      <c r="C25" s="48"/>
    </row>
    <row r="26" spans="1:3" x14ac:dyDescent="0.3">
      <c r="A26" s="47" t="s">
        <v>70</v>
      </c>
      <c r="B26" s="9">
        <f>'Cash Flow Model'!C32</f>
        <v>71.73238985641629</v>
      </c>
      <c r="C26" s="48" t="s">
        <v>8</v>
      </c>
    </row>
    <row r="27" spans="1:3" x14ac:dyDescent="0.3">
      <c r="A27" s="47" t="s">
        <v>71</v>
      </c>
      <c r="B27" s="12">
        <f>'Cash Flow Model'!C34</f>
        <v>5</v>
      </c>
      <c r="C27" s="48" t="s">
        <v>72</v>
      </c>
    </row>
    <row r="28" spans="1:3" x14ac:dyDescent="0.3">
      <c r="A28" s="47" t="s">
        <v>73</v>
      </c>
      <c r="B28" s="11">
        <f>Input!B37/100</f>
        <v>0.15</v>
      </c>
      <c r="C28" s="48"/>
    </row>
    <row r="29" spans="1:3" x14ac:dyDescent="0.3">
      <c r="A29" s="49" t="s">
        <v>74</v>
      </c>
      <c r="B29" s="50">
        <f>Input!B38/100</f>
        <v>0.3</v>
      </c>
      <c r="C29" s="51"/>
    </row>
  </sheetData>
  <mergeCells count="6">
    <mergeCell ref="A19:C19"/>
    <mergeCell ref="A1:C1"/>
    <mergeCell ref="A23:C23"/>
    <mergeCell ref="A3:C3"/>
    <mergeCell ref="A15:C15"/>
    <mergeCell ref="A7:C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showGridLines="0" workbookViewId="0">
      <selection activeCell="C20" sqref="C20"/>
    </sheetView>
  </sheetViews>
  <sheetFormatPr defaultRowHeight="14.4" x14ac:dyDescent="0.3"/>
  <cols>
    <col min="1" max="1" width="38" customWidth="1"/>
    <col min="2" max="3" width="16" customWidth="1"/>
    <col min="4" max="4" width="14" customWidth="1"/>
    <col min="7" max="7" width="10.33203125" bestFit="1" customWidth="1"/>
  </cols>
  <sheetData>
    <row r="1" spans="1:7" ht="19.95" customHeight="1" x14ac:dyDescent="0.4">
      <c r="A1" s="76" t="s">
        <v>179</v>
      </c>
      <c r="B1" s="77"/>
      <c r="C1" s="77"/>
      <c r="D1" s="77"/>
    </row>
    <row r="2" spans="1:7" ht="15.6" x14ac:dyDescent="0.3">
      <c r="A2" s="75" t="s">
        <v>75</v>
      </c>
      <c r="B2" s="18" t="s">
        <v>16</v>
      </c>
      <c r="C2" s="18" t="s">
        <v>76</v>
      </c>
      <c r="D2" s="18" t="s">
        <v>77</v>
      </c>
    </row>
    <row r="3" spans="1:7" ht="16.05" customHeight="1" x14ac:dyDescent="0.3">
      <c r="A3" s="19" t="s">
        <v>78</v>
      </c>
      <c r="B3" s="22">
        <f>Input!B23*Input!B5</f>
        <v>12071640</v>
      </c>
      <c r="C3" s="23">
        <f>IF(Calculations!B11&gt;0,B3/Calculations!B11,0)</f>
        <v>100.59699999999999</v>
      </c>
      <c r="D3" s="24">
        <f>IF(B11&gt;0,B3/B11*100,0)</f>
        <v>52.847045040725824</v>
      </c>
    </row>
    <row r="4" spans="1:7" ht="16.05" customHeight="1" x14ac:dyDescent="0.3">
      <c r="A4" s="19" t="s">
        <v>79</v>
      </c>
      <c r="B4" s="22">
        <f>Input!B24*Input!B5</f>
        <v>875648</v>
      </c>
      <c r="C4" s="23">
        <f>IF(Calculations!B11&gt;0,B4/Calculations!B11,0)</f>
        <v>7.2970666666666668</v>
      </c>
      <c r="D4" s="24">
        <f>IF(B11&gt;0,B4/B11*100,0)</f>
        <v>3.8333987176408084</v>
      </c>
    </row>
    <row r="5" spans="1:7" ht="16.05" customHeight="1" x14ac:dyDescent="0.3">
      <c r="A5" s="19" t="s">
        <v>80</v>
      </c>
      <c r="B5" s="22">
        <f>Input!B25*Input!B5</f>
        <v>1172376</v>
      </c>
      <c r="C5" s="23">
        <f>IF(Calculations!B11&gt;0,B5/Calculations!B11,0)</f>
        <v>9.7698</v>
      </c>
      <c r="D5" s="24">
        <f>IF(B11&gt;0,B5/B11*100,0)</f>
        <v>5.1324101179844641</v>
      </c>
      <c r="G5" s="38"/>
    </row>
    <row r="6" spans="1:7" ht="16.05" customHeight="1" x14ac:dyDescent="0.3">
      <c r="A6" s="19" t="s">
        <v>81</v>
      </c>
      <c r="B6" s="22">
        <f>Calculations!B4*Input!B26/100</f>
        <v>917203.26240808831</v>
      </c>
      <c r="C6" s="23">
        <f>IF(Calculations!B11&gt;0,B6/Calculations!B11,0)</f>
        <v>7.6433605200674029</v>
      </c>
      <c r="D6" s="24">
        <f>IF(B11&gt;0,B6/B11*100,0)</f>
        <v>4.0153187238834915</v>
      </c>
    </row>
    <row r="7" spans="1:7" ht="16.05" customHeight="1" x14ac:dyDescent="0.3">
      <c r="A7" s="19" t="s">
        <v>82</v>
      </c>
      <c r="B7" s="22">
        <f>Input!B27</f>
        <v>5000000</v>
      </c>
      <c r="C7" s="23">
        <f>IF(Calculations!B11&gt;0,B7/Calculations!B11,0)</f>
        <v>41.666666666666664</v>
      </c>
      <c r="D7" s="24">
        <f>IF(B11&gt;0,B7/B11*100,0)</f>
        <v>21.888925216758377</v>
      </c>
    </row>
    <row r="8" spans="1:7" ht="16.05" customHeight="1" x14ac:dyDescent="0.3">
      <c r="A8" s="19" t="s">
        <v>83</v>
      </c>
      <c r="B8" s="22">
        <f>Calculations!B4*Input!B28/100</f>
        <v>305734.42080269608</v>
      </c>
      <c r="C8" s="23">
        <f>IF(Calculations!B11&gt;0,B8/Calculations!B11,0)</f>
        <v>2.5477868400224675</v>
      </c>
      <c r="D8" s="24">
        <f>IF(B11&gt;0,B8/B11*100,0)</f>
        <v>1.3384395746278306</v>
      </c>
    </row>
    <row r="9" spans="1:7" ht="16.05" customHeight="1" x14ac:dyDescent="0.3">
      <c r="A9" s="19" t="s">
        <v>84</v>
      </c>
      <c r="B9" s="22">
        <f>Input!B29</f>
        <v>2000000</v>
      </c>
      <c r="C9" s="23">
        <f>IF(Calculations!B11&gt;0,B9/Calculations!B11,0)</f>
        <v>16.666666666666668</v>
      </c>
      <c r="D9" s="24">
        <f>IF(B11&gt;0,B9/B11*100,0)</f>
        <v>8.7555700867033508</v>
      </c>
    </row>
    <row r="10" spans="1:7" ht="16.05" customHeight="1" x14ac:dyDescent="0.3">
      <c r="A10" s="19" t="s">
        <v>85</v>
      </c>
      <c r="B10" s="22">
        <f>Input!B30</f>
        <v>500000</v>
      </c>
      <c r="C10" s="23">
        <f>IF(Calculations!B11&gt;0,B10/Calculations!B11,0)</f>
        <v>4.166666666666667</v>
      </c>
      <c r="D10" s="24">
        <f>IF(B11&gt;0,B10/B11*100,0)</f>
        <v>2.1888925216758377</v>
      </c>
    </row>
    <row r="11" spans="1:7" ht="16.05" customHeight="1" x14ac:dyDescent="0.3">
      <c r="A11" s="16" t="s">
        <v>86</v>
      </c>
      <c r="B11" s="25">
        <f>SUM(B3:B10)</f>
        <v>22842601.683210786</v>
      </c>
      <c r="C11" s="20">
        <f>IF(Calculations!B11&gt;0,B11/Calculations!B11,0)</f>
        <v>190.35501402675655</v>
      </c>
      <c r="D11" s="21">
        <f>SUM(D3:D10)</f>
        <v>99.999999999999986</v>
      </c>
    </row>
  </sheetData>
  <mergeCells count="1">
    <mergeCell ref="A1:D1"/>
  </mergeCells>
  <pageMargins left="0.75" right="0.75" top="1" bottom="1" header="0.5" footer="0.5"/>
  <ignoredErrors>
    <ignoredError sqref="C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</vt:lpstr>
      <vt:lpstr>Calculations</vt:lpstr>
      <vt:lpstr>Cash Flow Model</vt:lpstr>
      <vt:lpstr>EC Summary</vt:lpstr>
      <vt:lpstr>KPI Summary</vt:lpstr>
      <vt:lpstr>OPEX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 Sunhith Chilaka</cp:lastModifiedBy>
  <dcterms:created xsi:type="dcterms:W3CDTF">2026-05-03T16:00:52Z</dcterms:created>
  <dcterms:modified xsi:type="dcterms:W3CDTF">2026-05-04T08:42:18Z</dcterms:modified>
</cp:coreProperties>
</file>